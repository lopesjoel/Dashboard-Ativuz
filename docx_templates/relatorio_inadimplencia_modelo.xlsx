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Detalhamento por Cliente" sheetId="2" state="visible" r:id="rId2"/>
    <sheet xmlns:r="http://schemas.openxmlformats.org/officeDocument/2006/relationships" name="Análise por Etap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AAAAAA"/>
      <sz val="10"/>
    </font>
    <font>
      <name val="Arial"/>
      <b val="1"/>
      <color rgb="00FFFFFF"/>
      <sz val="24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2C3E50"/>
      <sz val="9"/>
    </font>
    <font>
      <name val="Arial"/>
      <sz val="9"/>
    </font>
    <font>
      <name val="Arial"/>
      <b val="1"/>
      <color rgb="002E86C1"/>
      <sz val="9"/>
    </font>
    <font>
      <name val="Arial"/>
      <b val="1"/>
      <color rgb="00C0392B"/>
      <sz val="9"/>
    </font>
    <font>
      <name val="Arial"/>
      <b val="1"/>
      <color rgb="001E8449"/>
      <sz val="9"/>
    </font>
    <font>
      <name val="Arial"/>
      <i val="1"/>
      <color rgb="002C3E50"/>
      <sz val="8"/>
    </font>
    <font>
      <name val="Arial"/>
      <b val="1"/>
      <color rgb="00FFFFFF"/>
      <sz val="10"/>
    </font>
    <font>
      <name val="Arial"/>
      <i val="1"/>
      <color rgb="007F8C8D"/>
      <sz val="8"/>
    </font>
    <font>
      <name val="Arial"/>
      <b val="1"/>
      <sz val="10"/>
    </font>
    <font>
      <name val="Arial"/>
      <sz val="10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0D2340"/>
      </patternFill>
    </fill>
    <fill>
      <patternFill patternType="solid">
        <fgColor rgb="001A5276"/>
      </patternFill>
    </fill>
    <fill>
      <patternFill patternType="solid">
        <fgColor rgb="00C0392B"/>
      </patternFill>
    </fill>
    <fill>
      <patternFill patternType="solid">
        <fgColor rgb="00E67E22"/>
      </patternFill>
    </fill>
    <fill>
      <patternFill patternType="solid">
        <fgColor rgb="001E8449"/>
      </patternFill>
    </fill>
    <fill>
      <patternFill patternType="solid">
        <fgColor rgb="00F2F3F4"/>
      </patternFill>
    </fill>
    <fill>
      <patternFill patternType="solid">
        <fgColor rgb="00D6EAF8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FFFFF"/>
      </patternFill>
    </fill>
    <fill>
      <patternFill patternType="solid">
        <fgColor rgb="0027AE60"/>
      </patternFill>
    </fill>
    <fill>
      <patternFill patternType="solid">
        <fgColor rgb="002ECC71"/>
      </patternFill>
    </fill>
    <fill>
      <patternFill patternType="solid">
        <fgColor rgb="00F1C40F"/>
      </patternFill>
    </fill>
    <fill>
      <patternFill patternType="solid">
        <fgColor rgb="00E74C3C"/>
      </patternFill>
    </fill>
    <fill>
      <patternFill patternType="solid">
        <fgColor rgb="00922B21"/>
      </patternFill>
    </fill>
    <fill>
      <patternFill patternType="solid">
        <fgColor rgb="007B241C"/>
      </patternFill>
    </fill>
    <fill>
      <patternFill patternType="solid">
        <fgColor rgb="00641E16"/>
      </patternFill>
    </fill>
  </fills>
  <borders count="3">
    <border>
      <left/>
      <right/>
      <top/>
      <bottom/>
      <diagonal/>
    </border>
    <border>
      <left style="medium">
        <color rgb="001A3A5C"/>
      </left>
      <right style="medium">
        <color rgb="001A3A5C"/>
      </right>
      <top style="medium">
        <color rgb="001A3A5C"/>
      </top>
      <bottom style="medium">
        <color rgb="001A3A5C"/>
      </bottom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5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5" fillId="7" borderId="2" applyAlignment="1" pivotButton="0" quotePrefix="0" xfId="0">
      <alignment horizontal="center" vertical="center"/>
    </xf>
    <xf numFmtId="0" fontId="0" fillId="7" borderId="2" pivotButton="0" quotePrefix="0" xfId="0"/>
    <xf numFmtId="1" fontId="3" fillId="4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0" fillId="8" borderId="0" pivotButton="0" quotePrefix="0" xfId="0"/>
    <xf numFmtId="0" fontId="6" fillId="8" borderId="2" applyAlignment="1" pivotButton="0" quotePrefix="0" xfId="0">
      <alignment vertical="center"/>
    </xf>
    <xf numFmtId="0" fontId="7" fillId="8" borderId="2" applyAlignment="1" pivotButton="0" quotePrefix="0" xfId="0">
      <alignment horizontal="center" vertical="center"/>
    </xf>
    <xf numFmtId="164" fontId="8" fillId="9" borderId="2" applyAlignment="1" pivotButton="0" quotePrefix="0" xfId="0">
      <alignment horizontal="right" vertical="center"/>
    </xf>
    <xf numFmtId="164" fontId="9" fillId="10" borderId="2" applyAlignment="1" pivotButton="0" quotePrefix="0" xfId="0">
      <alignment horizontal="right" vertical="center"/>
    </xf>
    <xf numFmtId="164" fontId="10" fillId="11" borderId="2" applyAlignment="1" pivotButton="0" quotePrefix="0" xfId="0">
      <alignment horizontal="right" vertical="center"/>
    </xf>
    <xf numFmtId="0" fontId="11" fillId="12" borderId="2" applyAlignment="1" pivotButton="0" quotePrefix="0" xfId="0">
      <alignment vertical="center" wrapText="1"/>
    </xf>
    <xf numFmtId="0" fontId="0" fillId="13" borderId="0" pivotButton="0" quotePrefix="0" xfId="0"/>
    <xf numFmtId="0" fontId="6" fillId="13" borderId="2" applyAlignment="1" pivotButton="0" quotePrefix="0" xfId="0">
      <alignment vertical="center"/>
    </xf>
    <xf numFmtId="0" fontId="7" fillId="13" borderId="2" applyAlignment="1" pivotButton="0" quotePrefix="0" xfId="0">
      <alignment horizontal="center" vertical="center"/>
    </xf>
    <xf numFmtId="0" fontId="6" fillId="12" borderId="2" applyAlignment="1" pivotButton="0" quotePrefix="0" xfId="0">
      <alignment horizontal="center" vertical="center"/>
    </xf>
    <xf numFmtId="0" fontId="0" fillId="13" borderId="2" pivotButton="0" quotePrefix="0" xfId="0"/>
    <xf numFmtId="0" fontId="0" fillId="8" borderId="2" pivotButton="0" quotePrefix="0" xfId="0"/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1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vertical="center"/>
    </xf>
    <xf numFmtId="0" fontId="7" fillId="9" borderId="2" applyAlignment="1" pivotButton="0" quotePrefix="0" xfId="0">
      <alignment horizontal="center" vertical="center"/>
    </xf>
    <xf numFmtId="0" fontId="14" fillId="13" borderId="2" applyAlignment="1" pivotButton="0" quotePrefix="0" xfId="0">
      <alignment vertical="center"/>
    </xf>
    <xf numFmtId="0" fontId="12" fillId="14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12" fillId="18" borderId="2" applyAlignment="1" pivotButton="0" quotePrefix="0" xfId="0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6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4" customWidth="1" min="8" max="8"/>
    <col width="18" customWidth="1" min="9" max="9"/>
    <col width="3" customWidth="1" min="10" max="10"/>
  </cols>
  <sheetData>
    <row r="1" ht="8" customHeight="1"/>
    <row r="2" ht="40" customHeight="1">
      <c r="B2" s="1" t="inlineStr">
        <is>
          <t>RELATÓRIO DE INADIMPLÊNCIA</t>
        </is>
      </c>
    </row>
    <row r="3" ht="20" customHeight="1">
      <c r="B3" s="2" t="inlineStr">
        <is>
          <t>ATIVUZ VEÍCULOS  ·  Gerado em: 14/05/2026</t>
        </is>
      </c>
    </row>
    <row r="4" ht="25" customHeight="1">
      <c r="B4" s="3" t="inlineStr">
        <is>
          <t>CLIENTES EM ATRASO</t>
        </is>
      </c>
      <c r="C4" s="4" t="n"/>
      <c r="D4" s="5" t="inlineStr">
        <is>
          <t>VALOR ORIGINAL TOTAL</t>
        </is>
      </c>
      <c r="E4" s="6" t="n"/>
      <c r="F4" s="7" t="inlineStr">
        <is>
          <t>TOTAL DE JUROS</t>
        </is>
      </c>
      <c r="G4" s="8" t="n"/>
      <c r="H4" s="9" t="inlineStr">
        <is>
          <t>TOTAL ATUALIZADO</t>
        </is>
      </c>
      <c r="I4" s="10" t="n"/>
    </row>
    <row r="5" ht="25" customHeight="1">
      <c r="B5" s="11">
        <f>COUNTA(B11:B59)</f>
        <v/>
      </c>
      <c r="C5" s="4" t="n"/>
      <c r="D5" s="12">
        <f>SUM(E11:E59)</f>
        <v/>
      </c>
      <c r="E5" s="6" t="n"/>
      <c r="F5" s="13">
        <f>SUM(G11:G59)</f>
        <v/>
      </c>
      <c r="G5" s="8" t="n"/>
      <c r="H5" s="14">
        <f>SUM(H11:H59)</f>
        <v/>
      </c>
      <c r="I5" s="10" t="n"/>
    </row>
    <row r="6" ht="25" customHeight="1">
      <c r="B6" s="4" t="n"/>
      <c r="C6" s="4" t="n"/>
      <c r="D6" s="6" t="n"/>
      <c r="E6" s="6" t="n"/>
      <c r="F6" s="8" t="n"/>
      <c r="G6" s="8" t="n"/>
      <c r="H6" s="10" t="n"/>
      <c r="I6" s="10" t="n"/>
    </row>
    <row r="7" ht="10" customHeight="1"/>
    <row r="8" ht="30" customHeight="1">
      <c r="A8" s="15" t="inlineStr"/>
      <c r="B8" s="15" t="inlineStr">
        <is>
          <t>CLIENTE</t>
        </is>
      </c>
      <c r="C8" s="15" t="inlineStr">
        <is>
          <t>ETAPA</t>
        </is>
      </c>
      <c r="D8" s="15" t="inlineStr">
        <is>
          <t>VENCIMENTO</t>
        </is>
      </c>
      <c r="E8" s="15" t="inlineStr">
        <is>
          <t>ATRASO
(dias)</t>
        </is>
      </c>
      <c r="F8" s="15" t="inlineStr">
        <is>
          <t>VALOR ORIGINAL</t>
        </is>
      </c>
      <c r="G8" s="15" t="inlineStr">
        <is>
          <t>JUROS MORA</t>
        </is>
      </c>
      <c r="H8" s="15" t="inlineStr">
        <is>
          <t>TOTAL ATUALIZADO</t>
        </is>
      </c>
      <c r="I8" s="15" t="inlineStr">
        <is>
          <t>PRÓXIMA AÇÃO</t>
        </is>
      </c>
      <c r="J8" s="15" t="inlineStr"/>
    </row>
    <row r="9" ht="18" customHeight="1"/>
    <row r="10" ht="18" customHeight="1"/>
    <row r="11" ht="22" customHeight="1">
      <c r="A11" s="16" t="n"/>
      <c r="B11" s="17" t="inlineStr">
        <is>
          <t>RICARDO ARAUJO DE MIRANDA</t>
        </is>
      </c>
      <c r="C11" s="5" t="inlineStr">
        <is>
          <t>D+15</t>
        </is>
      </c>
      <c r="D11" s="18" t="inlineStr">
        <is>
          <t>08/10/2025</t>
        </is>
      </c>
      <c r="E11" s="5" t="n">
        <v>218</v>
      </c>
      <c r="F11" s="19" t="n">
        <v>30</v>
      </c>
      <c r="G11" s="20" t="n">
        <v>32.7</v>
      </c>
      <c r="H11" s="21" t="n">
        <v>62.7</v>
      </c>
      <c r="I11" s="22" t="inlineStr">
        <is>
          <t>Recolhimento + protesto em cartório + execução contratual</t>
        </is>
      </c>
      <c r="J11" s="16" t="n"/>
    </row>
    <row r="12" ht="22" customHeight="1">
      <c r="A12" s="23" t="n"/>
      <c r="B12" s="24" t="inlineStr">
        <is>
          <t>LEONARDO GOMES DO NASCIMENTO</t>
        </is>
      </c>
      <c r="C12" s="5" t="inlineStr">
        <is>
          <t>D+15</t>
        </is>
      </c>
      <c r="D12" s="25" t="inlineStr">
        <is>
          <t>30/03/2026</t>
        </is>
      </c>
      <c r="E12" s="26" t="n">
        <v>45</v>
      </c>
      <c r="F12" s="19" t="n">
        <v>180</v>
      </c>
      <c r="G12" s="20" t="n">
        <v>40.5</v>
      </c>
      <c r="H12" s="21" t="n">
        <v>220.5</v>
      </c>
      <c r="I12" s="22" t="inlineStr">
        <is>
          <t>Recolhimento + protesto em cartório + execução contratual</t>
        </is>
      </c>
      <c r="J12" s="23" t="n"/>
    </row>
    <row r="13" ht="22" customHeight="1">
      <c r="A13" s="16" t="n"/>
      <c r="B13" s="17" t="inlineStr">
        <is>
          <t>NOME DO CLIENTE 3</t>
        </is>
      </c>
      <c r="C13" s="5" t="inlineStr">
        <is>
          <t>D+10</t>
        </is>
      </c>
      <c r="D13" s="18" t="inlineStr">
        <is>
          <t>15/02/2026</t>
        </is>
      </c>
      <c r="E13" s="7" t="n">
        <v>88</v>
      </c>
      <c r="F13" s="19" t="n">
        <v>500</v>
      </c>
      <c r="G13" s="20" t="n">
        <v>220</v>
      </c>
      <c r="H13" s="21" t="n">
        <v>720</v>
      </c>
      <c r="I13" s="22" t="inlineStr">
        <is>
          <t>Notificação extrajudicial</t>
        </is>
      </c>
      <c r="J13" s="16" t="n"/>
    </row>
    <row r="14" ht="22" customHeight="1">
      <c r="A14" s="23" t="n"/>
      <c r="B14" s="24" t="inlineStr">
        <is>
          <t>NOME DO CLIENTE 4</t>
        </is>
      </c>
      <c r="C14" s="5" t="inlineStr">
        <is>
          <t>D+7</t>
        </is>
      </c>
      <c r="D14" s="25" t="inlineStr">
        <is>
          <t>20/01/2026</t>
        </is>
      </c>
      <c r="E14" s="7" t="n">
        <v>113</v>
      </c>
      <c r="F14" s="19" t="n">
        <v>1200</v>
      </c>
      <c r="G14" s="20" t="n">
        <v>678.6</v>
      </c>
      <c r="H14" s="21" t="n">
        <v>1878.6</v>
      </c>
      <c r="I14" s="22" t="inlineStr">
        <is>
          <t>Protesto em cartório</t>
        </is>
      </c>
      <c r="J14" s="23" t="n"/>
    </row>
    <row r="15" ht="22" customHeight="1">
      <c r="A15" s="16" t="n"/>
      <c r="B15" s="17" t="inlineStr">
        <is>
          <t>NOME DO CLIENTE 5</t>
        </is>
      </c>
      <c r="C15" s="5" t="inlineStr">
        <is>
          <t>D+5</t>
        </is>
      </c>
      <c r="D15" s="18" t="inlineStr">
        <is>
          <t>10/04/2026</t>
        </is>
      </c>
      <c r="E15" s="26" t="n">
        <v>34</v>
      </c>
      <c r="F15" s="19" t="n">
        <v>350</v>
      </c>
      <c r="G15" s="20" t="n">
        <v>59.5</v>
      </c>
      <c r="H15" s="21" t="n">
        <v>409.5</v>
      </c>
      <c r="I15" s="22" t="inlineStr">
        <is>
          <t>Contato telefônico</t>
        </is>
      </c>
      <c r="J15" s="16" t="n"/>
    </row>
    <row r="16" ht="18" customHeight="1">
      <c r="A16" s="23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3" t="n"/>
    </row>
    <row r="17" ht="18" customHeight="1">
      <c r="A17" s="16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16" t="n"/>
    </row>
    <row r="18" ht="18" customHeight="1">
      <c r="A18" s="23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3" t="n"/>
    </row>
    <row r="19" ht="18" customHeight="1">
      <c r="A19" s="16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16" t="n"/>
    </row>
    <row r="20" ht="18" customHeight="1">
      <c r="A20" s="23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3" t="n"/>
    </row>
    <row r="21" ht="18" customHeight="1">
      <c r="A21" s="16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16" t="n"/>
    </row>
    <row r="22" ht="18" customHeight="1">
      <c r="A22" s="23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3" t="n"/>
    </row>
    <row r="23" ht="18" customHeight="1">
      <c r="A23" s="16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16" t="n"/>
    </row>
    <row r="24" ht="18" customHeight="1">
      <c r="A24" s="23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3" t="n"/>
    </row>
    <row r="25" ht="18" customHeight="1">
      <c r="A25" s="16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16" t="n"/>
    </row>
    <row r="26" ht="18" customHeight="1">
      <c r="A26" s="23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3" t="n"/>
    </row>
    <row r="27" ht="18" customHeight="1">
      <c r="A27" s="16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16" t="n"/>
    </row>
    <row r="28" ht="18" customHeight="1">
      <c r="A28" s="23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3" t="n"/>
    </row>
    <row r="29" ht="18" customHeight="1">
      <c r="A29" s="16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16" t="n"/>
    </row>
    <row r="30" ht="18" customHeight="1">
      <c r="A30" s="23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3" t="n"/>
    </row>
    <row r="31" ht="18" customHeight="1">
      <c r="A31" s="16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16" t="n"/>
    </row>
    <row r="32" ht="18" customHeight="1">
      <c r="A32" s="23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3" t="n"/>
    </row>
    <row r="33" ht="18" customHeight="1">
      <c r="A33" s="16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16" t="n"/>
    </row>
    <row r="34" ht="18" customHeight="1">
      <c r="A34" s="23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3" t="n"/>
    </row>
    <row r="35" ht="18" customHeight="1">
      <c r="A35" s="16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16" t="n"/>
    </row>
    <row r="36" ht="18" customHeight="1">
      <c r="A36" s="23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3" t="n"/>
    </row>
    <row r="37" ht="18" customHeight="1">
      <c r="A37" s="16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16" t="n"/>
    </row>
    <row r="38" ht="18" customHeight="1">
      <c r="A38" s="23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3" t="n"/>
    </row>
    <row r="39" ht="18" customHeight="1">
      <c r="A39" s="16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16" t="n"/>
    </row>
    <row r="40" ht="18" customHeight="1">
      <c r="A40" s="23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3" t="n"/>
    </row>
    <row r="41" ht="18" customHeight="1">
      <c r="A41" s="16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16" t="n"/>
    </row>
    <row r="42" ht="18" customHeight="1">
      <c r="A42" s="23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3" t="n"/>
    </row>
    <row r="43" ht="18" customHeight="1">
      <c r="A43" s="16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16" t="n"/>
    </row>
    <row r="44" ht="18" customHeight="1">
      <c r="A44" s="23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3" t="n"/>
    </row>
    <row r="45" ht="18" customHeight="1">
      <c r="A45" s="16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16" t="n"/>
    </row>
    <row r="46" ht="18" customHeight="1">
      <c r="A46" s="23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3" t="n"/>
    </row>
    <row r="47" ht="18" customHeight="1">
      <c r="A47" s="16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16" t="n"/>
    </row>
    <row r="48" ht="18" customHeight="1">
      <c r="A48" s="23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3" t="n"/>
    </row>
    <row r="49" ht="18" customHeight="1">
      <c r="A49" s="16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16" t="n"/>
    </row>
    <row r="50" ht="18" customHeight="1">
      <c r="A50" s="23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3" t="n"/>
    </row>
    <row r="51" ht="18" customHeight="1">
      <c r="A51" s="16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16" t="n"/>
    </row>
    <row r="52" ht="18" customHeight="1">
      <c r="A52" s="23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3" t="n"/>
    </row>
    <row r="53" ht="18" customHeight="1">
      <c r="A53" s="16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16" t="n"/>
    </row>
    <row r="54" ht="18" customHeight="1">
      <c r="A54" s="23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3" t="n"/>
    </row>
    <row r="55" ht="18" customHeight="1">
      <c r="A55" s="16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16" t="n"/>
    </row>
    <row r="56" ht="18" customHeight="1">
      <c r="A56" s="23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3" t="n"/>
    </row>
    <row r="57" ht="18" customHeight="1">
      <c r="A57" s="16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16" t="n"/>
    </row>
    <row r="58" ht="18" customHeight="1">
      <c r="A58" s="23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3" t="n"/>
    </row>
    <row r="59" ht="18" customHeight="1">
      <c r="A59" s="16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16" t="n"/>
    </row>
    <row r="60" ht="22" customHeight="1">
      <c r="B60" s="29" t="inlineStr">
        <is>
          <t>TOTAIS</t>
        </is>
      </c>
      <c r="F60" s="30">
        <f>SUM(F11:F59)</f>
        <v/>
      </c>
      <c r="G60" s="30">
        <f>SUM(G11:G59)</f>
        <v/>
      </c>
      <c r="H60" s="30">
        <f>SUM(H11:H59)</f>
        <v/>
      </c>
      <c r="I60" s="31" t="n"/>
    </row>
    <row r="62">
      <c r="B62" s="32" t="inlineStr">
        <is>
          <t>LEGENDA DE CORES — Atraso: ■ Vermelho ≥180 dias   ■ Laranja 60-179 dias   ■ Amarelo &lt;60 dias   |   Valor: ■ Azul = Original   ■ Vermelho = Juros   ■ Verde = Total</t>
        </is>
      </c>
    </row>
  </sheetData>
  <mergeCells count="16">
    <mergeCell ref="D6:E6"/>
    <mergeCell ref="B6:C6"/>
    <mergeCell ref="F4:G4"/>
    <mergeCell ref="B62:I62"/>
    <mergeCell ref="H6:I6"/>
    <mergeCell ref="B5:C5"/>
    <mergeCell ref="B2:I2"/>
    <mergeCell ref="F5:G5"/>
    <mergeCell ref="D5:E5"/>
    <mergeCell ref="B3:I3"/>
    <mergeCell ref="F6:G6"/>
    <mergeCell ref="D4:E4"/>
    <mergeCell ref="H5:I5"/>
    <mergeCell ref="H4:I4"/>
    <mergeCell ref="B4:C4"/>
    <mergeCell ref="B60:E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2" customWidth="1" min="5" max="5"/>
    <col width="14" customWidth="1" min="6" max="6"/>
    <col width="16" customWidth="1" min="7" max="7"/>
    <col width="14" customWidth="1" min="8" max="8"/>
    <col width="3" customWidth="1" min="9" max="9"/>
  </cols>
  <sheetData>
    <row r="2" ht="35" customHeight="1">
      <c r="B2" s="33" t="inlineStr">
        <is>
          <t>DETALHAMENTO POR CLIENTE — COBRANÇAS EM ABERTO</t>
        </is>
      </c>
    </row>
    <row r="4" ht="28" customHeight="1">
      <c r="A4" s="34" t="inlineStr"/>
      <c r="B4" s="34" t="inlineStr">
        <is>
          <t>CLIENTE</t>
        </is>
      </c>
      <c r="C4" s="34" t="inlineStr">
        <is>
          <t>ETAPA</t>
        </is>
      </c>
      <c r="D4" s="34" t="inlineStr">
        <is>
          <t>DIAS EM ATRASO</t>
        </is>
      </c>
      <c r="E4" s="34" t="inlineStr">
        <is>
          <t>VENCIMENTO</t>
        </is>
      </c>
      <c r="F4" s="34" t="inlineStr">
        <is>
          <t>VALOR ORIGINAL</t>
        </is>
      </c>
      <c r="G4" s="34" t="inlineStr">
        <is>
          <t>JUROS MORA (0,5%/dia)</t>
        </is>
      </c>
      <c r="H4" s="34" t="inlineStr">
        <is>
          <t>TOTAL ATUALIZADO</t>
        </is>
      </c>
      <c r="I4" s="34" t="inlineStr"/>
    </row>
    <row r="6" ht="22" customHeight="1">
      <c r="B6" s="35" t="inlineStr">
        <is>
          <t>RICARDO ARAUJO DE MIRANDA</t>
        </is>
      </c>
      <c r="C6" s="5" t="inlineStr">
        <is>
          <t>D+15</t>
        </is>
      </c>
      <c r="D6" s="5" t="n">
        <v>218</v>
      </c>
      <c r="E6" s="36" t="inlineStr">
        <is>
          <t>08/10/2025</t>
        </is>
      </c>
      <c r="F6" s="19" t="n">
        <v>30</v>
      </c>
      <c r="G6" s="20" t="n">
        <v>32.7</v>
      </c>
      <c r="H6" s="21">
        <f>F6+G6</f>
        <v/>
      </c>
    </row>
    <row r="7" ht="22" customHeight="1">
      <c r="B7" s="37" t="inlineStr">
        <is>
          <t>LEONARDO GOMES DO NASCIMENTO</t>
        </is>
      </c>
      <c r="C7" s="5" t="inlineStr">
        <is>
          <t>D+15</t>
        </is>
      </c>
      <c r="D7" s="26" t="n">
        <v>45</v>
      </c>
      <c r="E7" s="25" t="inlineStr">
        <is>
          <t>30/03/2026</t>
        </is>
      </c>
      <c r="F7" s="19" t="n">
        <v>180</v>
      </c>
      <c r="G7" s="20" t="n">
        <v>40.5</v>
      </c>
      <c r="H7" s="21">
        <f>F7+G7</f>
        <v/>
      </c>
    </row>
    <row r="8" ht="22" customHeight="1">
      <c r="B8" s="35" t="inlineStr">
        <is>
          <t>NOME DO CLIENTE 3</t>
        </is>
      </c>
      <c r="C8" s="5" t="inlineStr">
        <is>
          <t>D+10</t>
        </is>
      </c>
      <c r="D8" s="7" t="n">
        <v>88</v>
      </c>
      <c r="E8" s="36" t="inlineStr">
        <is>
          <t>15/02/2026</t>
        </is>
      </c>
      <c r="F8" s="19" t="n">
        <v>500</v>
      </c>
      <c r="G8" s="20" t="n">
        <v>220</v>
      </c>
      <c r="H8" s="21">
        <f>F8+G8</f>
        <v/>
      </c>
    </row>
    <row r="9" ht="22" customHeight="1">
      <c r="B9" s="37" t="inlineStr">
        <is>
          <t>NOME DO CLIENTE 4</t>
        </is>
      </c>
      <c r="C9" s="5" t="inlineStr">
        <is>
          <t>D+7</t>
        </is>
      </c>
      <c r="D9" s="7" t="n">
        <v>113</v>
      </c>
      <c r="E9" s="25" t="inlineStr">
        <is>
          <t>20/01/2026</t>
        </is>
      </c>
      <c r="F9" s="19" t="n">
        <v>1200</v>
      </c>
      <c r="G9" s="20" t="n">
        <v>678.6</v>
      </c>
      <c r="H9" s="21">
        <f>F9+G9</f>
        <v/>
      </c>
    </row>
    <row r="10" ht="22" customHeight="1">
      <c r="B10" s="35" t="inlineStr">
        <is>
          <t>NOME DO CLIENTE 5</t>
        </is>
      </c>
      <c r="C10" s="5" t="inlineStr">
        <is>
          <t>D+5</t>
        </is>
      </c>
      <c r="D10" s="26" t="n">
        <v>34</v>
      </c>
      <c r="E10" s="36" t="inlineStr">
        <is>
          <t>10/04/2026</t>
        </is>
      </c>
      <c r="F10" s="19" t="n">
        <v>350</v>
      </c>
      <c r="G10" s="20" t="n">
        <v>59.5</v>
      </c>
      <c r="H10" s="21">
        <f>F10+G10</f>
        <v/>
      </c>
    </row>
    <row r="12">
      <c r="B12" s="29" t="inlineStr">
        <is>
          <t>TOTAL GERAL</t>
        </is>
      </c>
      <c r="F12" s="30">
        <f>SUM(F6:F11)</f>
        <v/>
      </c>
      <c r="G12" s="30">
        <f>SUM(G6:G11)</f>
        <v/>
      </c>
      <c r="H12" s="30">
        <f>SUM(H6:H11)</f>
        <v/>
      </c>
    </row>
  </sheetData>
  <mergeCells count="2">
    <mergeCell ref="B12:E12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2" ht="35" customHeight="1">
      <c r="B2" s="33" t="inlineStr">
        <is>
          <t>ANÁLISE POR ETAPA DE COBRANÇA</t>
        </is>
      </c>
    </row>
    <row r="4" ht="28" customHeight="1">
      <c r="A4" s="34" t="inlineStr"/>
      <c r="B4" s="34" t="inlineStr">
        <is>
          <t>ETAPA</t>
        </is>
      </c>
      <c r="C4" s="34" t="inlineStr">
        <is>
          <t>Nº CLIENTES</t>
        </is>
      </c>
      <c r="D4" s="34" t="inlineStr">
        <is>
          <t>VALOR ORIGINAL</t>
        </is>
      </c>
      <c r="E4" s="34" t="inlineStr">
        <is>
          <t>JUROS MORA</t>
        </is>
      </c>
      <c r="F4" s="34" t="inlineStr">
        <is>
          <t>TOTAL ATUALIZADO</t>
        </is>
      </c>
      <c r="G4" s="34" t="inlineStr"/>
    </row>
    <row r="6" ht="22" customHeight="1">
      <c r="B6" s="38" t="inlineStr">
        <is>
          <t>D+0</t>
        </is>
      </c>
      <c r="C6" s="39" t="n">
        <v>0</v>
      </c>
      <c r="D6" s="19" t="n">
        <v>0</v>
      </c>
      <c r="E6" s="20" t="n">
        <v>0</v>
      </c>
      <c r="F6" s="21">
        <f>D6+E6</f>
        <v/>
      </c>
    </row>
    <row r="7" ht="22" customHeight="1">
      <c r="B7" s="40" t="inlineStr">
        <is>
          <t>D+1</t>
        </is>
      </c>
      <c r="C7" s="39" t="n">
        <v>0</v>
      </c>
      <c r="D7" s="19" t="n">
        <v>0</v>
      </c>
      <c r="E7" s="20" t="n">
        <v>0</v>
      </c>
      <c r="F7" s="21">
        <f>D7+E7</f>
        <v/>
      </c>
    </row>
    <row r="8" ht="22" customHeight="1">
      <c r="B8" s="41" t="inlineStr">
        <is>
          <t>D+2</t>
        </is>
      </c>
      <c r="C8" s="39" t="n">
        <v>0</v>
      </c>
      <c r="D8" s="19" t="n">
        <v>0</v>
      </c>
      <c r="E8" s="20" t="n">
        <v>0</v>
      </c>
      <c r="F8" s="21">
        <f>D8+E8</f>
        <v/>
      </c>
    </row>
    <row r="9" ht="22" customHeight="1">
      <c r="B9" s="42" t="inlineStr">
        <is>
          <t>D+3</t>
        </is>
      </c>
      <c r="C9" s="39" t="n">
        <v>0</v>
      </c>
      <c r="D9" s="19" t="n">
        <v>0</v>
      </c>
      <c r="E9" s="20" t="n">
        <v>0</v>
      </c>
      <c r="F9" s="21">
        <f>D9+E9</f>
        <v/>
      </c>
    </row>
    <row r="10" ht="22" customHeight="1">
      <c r="B10" s="43" t="inlineStr">
        <is>
          <t>D+4</t>
        </is>
      </c>
      <c r="C10" s="39" t="n">
        <v>0</v>
      </c>
      <c r="D10" s="19" t="n">
        <v>0</v>
      </c>
      <c r="E10" s="20" t="n">
        <v>0</v>
      </c>
      <c r="F10" s="21">
        <f>D10+E10</f>
        <v/>
      </c>
    </row>
    <row r="11" ht="22" customHeight="1">
      <c r="B11" s="44" t="inlineStr">
        <is>
          <t>D+5</t>
        </is>
      </c>
      <c r="C11" s="39" t="n">
        <v>1</v>
      </c>
      <c r="D11" s="19" t="n">
        <v>350</v>
      </c>
      <c r="E11" s="20" t="n">
        <v>59.5</v>
      </c>
      <c r="F11" s="21">
        <f>D11+E11</f>
        <v/>
      </c>
    </row>
    <row r="12" ht="22" customHeight="1">
      <c r="B12" s="45" t="inlineStr">
        <is>
          <t>D+7</t>
        </is>
      </c>
      <c r="C12" s="39" t="n">
        <v>1</v>
      </c>
      <c r="D12" s="19" t="n">
        <v>1200</v>
      </c>
      <c r="E12" s="20" t="n">
        <v>678.6</v>
      </c>
      <c r="F12" s="21">
        <f>D12+E12</f>
        <v/>
      </c>
    </row>
    <row r="13" ht="22" customHeight="1">
      <c r="B13" s="46" t="inlineStr">
        <is>
          <t>D+10</t>
        </is>
      </c>
      <c r="C13" s="39" t="n">
        <v>1</v>
      </c>
      <c r="D13" s="19" t="n">
        <v>500</v>
      </c>
      <c r="E13" s="20" t="n">
        <v>220</v>
      </c>
      <c r="F13" s="21">
        <f>D13+E13</f>
        <v/>
      </c>
    </row>
    <row r="14" ht="22" customHeight="1">
      <c r="B14" s="47" t="inlineStr">
        <is>
          <t>D+15</t>
        </is>
      </c>
      <c r="C14" s="39" t="n">
        <v>3</v>
      </c>
      <c r="D14" s="19" t="n">
        <v>210</v>
      </c>
      <c r="E14" s="20" t="n">
        <v>73.2</v>
      </c>
      <c r="F14" s="21">
        <f>D14+E14</f>
        <v/>
      </c>
    </row>
    <row r="16">
      <c r="B16" s="29" t="inlineStr">
        <is>
          <t>TOTAL</t>
        </is>
      </c>
      <c r="D16" s="30">
        <f>SUM(D6:D15)</f>
        <v/>
      </c>
      <c r="E16" s="30">
        <f>SUM(E6:E15)</f>
        <v/>
      </c>
      <c r="F16" s="30">
        <f>SUM(F6:F15)</f>
        <v/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2026-05-14T14:56:51Z</dcterms:created>
  <dcterms:modified xmlns:dcterms="http://purl.org/dc/terms/" xmlns:xsi="http://www.w3.org/2001/XMLSchema-instance" xsi:type="dcterms:W3CDTF">2026-05-14T14:56:51Z</dcterms:modified>
</cp:coreProperties>
</file>