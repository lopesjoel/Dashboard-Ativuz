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bm\OneDrive\Documentos\projeto_ativuz\docx_templates\"/>
    </mc:Choice>
  </mc:AlternateContent>
  <xr:revisionPtr revIDLastSave="0" documentId="13_ncr:1_{DB79AD5A-1B82-4316-B495-9FBADF5EBE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 Executivo" sheetId="1" r:id="rId1"/>
    <sheet name="Detalhamento por Cliente" sheetId="2" r:id="rId2"/>
    <sheet name="Análise por Eta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E16" i="3"/>
  <c r="D16" i="3"/>
  <c r="F14" i="3"/>
  <c r="F13" i="3"/>
  <c r="F12" i="3"/>
  <c r="F11" i="3"/>
  <c r="F10" i="3"/>
  <c r="F9" i="3"/>
  <c r="F8" i="3"/>
  <c r="F7" i="3"/>
  <c r="F6" i="3"/>
  <c r="F16" i="3" s="1"/>
  <c r="G12" i="2"/>
  <c r="F12" i="2"/>
  <c r="H10" i="2"/>
  <c r="H9" i="2"/>
  <c r="H8" i="2"/>
  <c r="H7" i="2"/>
  <c r="H6" i="2"/>
  <c r="H12" i="2" s="1"/>
  <c r="H58" i="1"/>
  <c r="G58" i="1"/>
  <c r="F58" i="1"/>
  <c r="H5" i="1"/>
  <c r="E5" i="1"/>
  <c r="C5" i="1"/>
</calcChain>
</file>

<file path=xl/sharedStrings.xml><?xml version="1.0" encoding="utf-8"?>
<sst xmlns="http://schemas.openxmlformats.org/spreadsheetml/2006/main" count="76" uniqueCount="45">
  <si>
    <t>RELATÓRIO DE INADIMPLÊNCIA</t>
  </si>
  <si>
    <t>ATIVUZ VEÍCULOS  ·  Gerado em: 14/05/2026</t>
  </si>
  <si>
    <t>CLIENTES EM ATRASO</t>
  </si>
  <si>
    <t>VALOR ORIGINAL TOTAL</t>
  </si>
  <si>
    <t>TOTAL DE JUROS</t>
  </si>
  <si>
    <t>TOTAL ATUALIZADO</t>
  </si>
  <si>
    <t>CLIENTE</t>
  </si>
  <si>
    <t>ETAPA</t>
  </si>
  <si>
    <t>VENCIMENTO</t>
  </si>
  <si>
    <t>ATRASO
(dias)</t>
  </si>
  <si>
    <t>VALOR ORIGINAL</t>
  </si>
  <si>
    <t>JUROS MORA</t>
  </si>
  <si>
    <t>PRÓXIMA AÇÃO</t>
  </si>
  <si>
    <t>RICARDO ARAUJO DE MIRANDA</t>
  </si>
  <si>
    <t>D+15</t>
  </si>
  <si>
    <t>08/10/2025</t>
  </si>
  <si>
    <t>Recolhimento + protesto em cartório + execução contratual</t>
  </si>
  <si>
    <t>LEONARDO GOMES DO NASCIMENTO</t>
  </si>
  <si>
    <t>30/03/2026</t>
  </si>
  <si>
    <t>NOME DO CLIENTE 3</t>
  </si>
  <si>
    <t>D+10</t>
  </si>
  <si>
    <t>15/02/2026</t>
  </si>
  <si>
    <t>Notificação extrajudicial</t>
  </si>
  <si>
    <t>NOME DO CLIENTE 4</t>
  </si>
  <si>
    <t>D+7</t>
  </si>
  <si>
    <t>20/01/2026</t>
  </si>
  <si>
    <t>Protesto em cartório</t>
  </si>
  <si>
    <t>NOME DO CLIENTE 5</t>
  </si>
  <si>
    <t>D+5</t>
  </si>
  <si>
    <t>10/04/2026</t>
  </si>
  <si>
    <t>Contato telefônico</t>
  </si>
  <si>
    <t>TOTAIS</t>
  </si>
  <si>
    <t>LEGENDA DE CORES — Atraso: ■ Vermelho ≥180 dias   ■ Laranja 60-179 dias   ■ Amarelo &lt;60 dias   |   Valor: ■ Azul = Original   ■ Vermelho = Juros   ■ Verde = Total</t>
  </si>
  <si>
    <t>DETALHAMENTO POR CLIENTE — COBRANÇAS EM ABERTO</t>
  </si>
  <si>
    <t>DIAS EM ATRASO</t>
  </si>
  <si>
    <t>JUROS MORA (0,5%/dia)</t>
  </si>
  <si>
    <t>TOTAL GERAL</t>
  </si>
  <si>
    <t>ANÁLISE POR ETAPA DE COBRANÇA</t>
  </si>
  <si>
    <t>Nº CLIENTES</t>
  </si>
  <si>
    <t>D+0</t>
  </si>
  <si>
    <t>D+1</t>
  </si>
  <si>
    <t>D+2</t>
  </si>
  <si>
    <t>D+3</t>
  </si>
  <si>
    <t>D+4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</si>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</sst>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6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0"/>
      <color rgb="FFAAAAAA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2C3E50"/>
      <name val="Arial"/>
    </font>
    <font>
      <sz val="9"/>
      <name val="Arial"/>
    </font>
    <font>
      <b/>
      <sz val="9"/>
      <color rgb="FF2E86C1"/>
      <name val="Arial"/>
    </font>
    <font>
      <b/>
      <sz val="9"/>
      <color rgb="FFC0392B"/>
      <name val="Arial"/>
    </font>
    <font>
      <b/>
      <sz val="9"/>
      <color rgb="FF1E8449"/>
      <name val="Arial"/>
    </font>
    <font>
      <i/>
      <sz val="8"/>
      <color rgb="FF2C3E50"/>
      <name val="Arial"/>
    </font>
    <font>
      <b/>
      <sz val="10"/>
      <color rgb="FFFFFFFF"/>
      <name val="Arial"/>
    </font>
    <font>
      <i/>
      <sz val="8"/>
      <color rgb="FF7F8C8D"/>
      <name val="Arial"/>
    </font>
    <font>
      <b/>
      <sz val="10"/>
      <name val="Arial"/>
    </font>
    <font>
      <sz val="10"/>
      <name val="Arial"/>
    </font>
    <font>
      <b/>
      <sz val="14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0D2340"/>
      </patternFill>
    </fill>
    <fill>
      <patternFill patternType="solid">
        <fgColor rgb="FF1A5276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1E8449"/>
      </patternFill>
    </fill>
    <fill>
      <patternFill patternType="solid">
        <fgColor rgb="FFF2F3F4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27AE60"/>
      </patternFill>
    </fill>
    <fill>
      <patternFill patternType="solid">
        <fgColor rgb="FF2ECC71"/>
      </patternFill>
    </fill>
    <fill>
      <patternFill patternType="solid">
        <fgColor rgb="FFF1C40F"/>
      </patternFill>
    </fill>
    <fill>
      <patternFill patternType="solid">
        <fgColor rgb="FFE74C3C"/>
      </patternFill>
    </fill>
    <fill>
      <patternFill patternType="solid">
        <fgColor rgb="FF922B21"/>
      </patternFill>
    </fill>
    <fill>
      <patternFill patternType="solid">
        <fgColor rgb="FF7B241C"/>
      </patternFill>
    </fill>
    <fill>
      <patternFill patternType="solid">
        <fgColor rgb="FF641E16"/>
      </patternFill>
    </fill>
  </fills>
  <borders count="6">
    <border>
      <left/>
      <right/>
      <top/>
      <bottom/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/>
      <bottom/>
      <diagonal/>
    </border>
    <border>
      <left style="medium">
        <color rgb="FF1A3A5C"/>
      </left>
      <right/>
      <top/>
      <bottom/>
      <diagonal/>
    </border>
    <border>
      <left/>
      <right style="thin">
        <color rgb="FFBDBDBD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8" borderId="0" xfId="0" applyFill="1"/>
    <xf numFmtId="0" fontId="5" fillId="8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right" vertical="center"/>
    </xf>
    <xf numFmtId="164" fontId="8" fillId="10" borderId="2" xfId="0" applyNumberFormat="1" applyFont="1" applyFill="1" applyBorder="1" applyAlignment="1">
      <alignment horizontal="right" vertical="center"/>
    </xf>
    <xf numFmtId="164" fontId="9" fillId="11" borderId="2" xfId="0" applyNumberFormat="1" applyFont="1" applyFill="1" applyBorder="1" applyAlignment="1">
      <alignment horizontal="right" vertical="center"/>
    </xf>
    <xf numFmtId="0" fontId="0" fillId="13" borderId="0" xfId="0" applyFill="1"/>
    <xf numFmtId="0" fontId="5" fillId="13" borderId="2" xfId="0" applyFont="1" applyFill="1" applyBorder="1" applyAlignment="1">
      <alignment vertical="center"/>
    </xf>
    <xf numFmtId="0" fontId="6" fillId="13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0" fillId="13" borderId="2" xfId="0" applyFill="1" applyBorder="1"/>
    <xf numFmtId="0" fontId="0" fillId="8" borderId="2" xfId="0" applyFill="1" applyBorder="1"/>
    <xf numFmtId="164" fontId="11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4" fillId="4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vertical="center"/>
    </xf>
    <xf numFmtId="0" fontId="6" fillId="9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vertical="center"/>
    </xf>
    <xf numFmtId="0" fontId="11" fillId="14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1" fontId="15" fillId="4" borderId="3" xfId="0" applyNumberFormat="1" applyFont="1" applyFill="1" applyBorder="1" applyAlignment="1">
      <alignment horizontal="center" vertical="center"/>
    </xf>
    <xf numFmtId="1" fontId="15" fillId="4" borderId="0" xfId="0" applyNumberFormat="1" applyFont="1" applyFill="1" applyBorder="1" applyAlignment="1">
      <alignment horizontal="center" vertical="center"/>
    </xf>
    <xf numFmtId="164" fontId="15" fillId="5" borderId="0" xfId="0" applyNumberFormat="1" applyFont="1" applyFill="1" applyBorder="1" applyAlignment="1">
      <alignment horizontal="center" vertical="center"/>
    </xf>
    <xf numFmtId="164" fontId="15" fillId="5" borderId="5" xfId="0" applyNumberFormat="1" applyFont="1" applyFill="1" applyBorder="1" applyAlignment="1">
      <alignment horizontal="center" vertical="center"/>
    </xf>
    <xf numFmtId="164" fontId="15" fillId="6" borderId="3" xfId="0" applyNumberFormat="1" applyFont="1" applyFill="1" applyBorder="1" applyAlignment="1">
      <alignment horizontal="center" vertical="center"/>
    </xf>
    <xf numFmtId="164" fontId="15" fillId="6" borderId="0" xfId="0" applyNumberFormat="1" applyFont="1" applyFill="1" applyBorder="1" applyAlignment="1">
      <alignment horizontal="center" vertical="center"/>
    </xf>
    <xf numFmtId="164" fontId="15" fillId="6" borderId="5" xfId="0" applyNumberFormat="1" applyFont="1" applyFill="1" applyBorder="1" applyAlignment="1">
      <alignment horizontal="center" vertical="center"/>
    </xf>
    <xf numFmtId="164" fontId="15" fillId="7" borderId="3" xfId="0" applyNumberFormat="1" applyFont="1" applyFill="1" applyBorder="1" applyAlignment="1">
      <alignment horizontal="center" vertical="center"/>
    </xf>
    <xf numFmtId="164" fontId="15" fillId="7" borderId="0" xfId="0" applyNumberFormat="1" applyFont="1" applyFill="1" applyBorder="1" applyAlignment="1">
      <alignment horizontal="center" vertical="center"/>
    </xf>
    <xf numFmtId="164" fontId="15" fillId="7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showGridLines="0" tabSelected="1" workbookViewId="0">
      <pane ySplit="6" topLeftCell="A7" activePane="bottomLeft" state="frozen"/>
      <selection pane="bottomLeft" activeCell="K5" sqref="K5:N5"/>
    </sheetView>
  </sheetViews>
  <sheetFormatPr defaultRowHeight="14.4" x14ac:dyDescent="0.3"/>
  <cols>
    <col min="1" max="1" width="3" customWidth="1"/>
    <col min="2" max="2" width="56" customWidth="1"/>
    <col min="3" max="3" width="16" customWidth="1"/>
    <col min="4" max="4" width="14" customWidth="1"/>
    <col min="5" max="5" width="12" customWidth="1"/>
    <col min="6" max="6" width="14" customWidth="1"/>
    <col min="7" max="7" width="16" customWidth="1"/>
    <col min="8" max="8" width="14" customWidth="1"/>
    <col min="9" max="9" width="18" customWidth="1"/>
    <col min="10" max="10" width="3" customWidth="1"/>
  </cols>
  <sheetData>
    <row r="1" spans="1:14" ht="7.95" customHeight="1" x14ac:dyDescent="0.3"/>
    <row r="2" spans="1:14" ht="40.049999999999997" customHeight="1" x14ac:dyDescent="0.3">
      <c r="B2" s="39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19.95" customHeight="1" x14ac:dyDescent="0.3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ht="25.05" customHeight="1" x14ac:dyDescent="0.3">
      <c r="C4" s="41" t="s">
        <v>2</v>
      </c>
      <c r="D4" s="42"/>
      <c r="E4" s="43" t="s">
        <v>3</v>
      </c>
      <c r="F4" s="43"/>
      <c r="G4" s="44"/>
      <c r="H4" s="45" t="s">
        <v>4</v>
      </c>
      <c r="I4" s="46"/>
      <c r="J4" s="47"/>
      <c r="K4" s="48" t="s">
        <v>5</v>
      </c>
      <c r="L4" s="49"/>
      <c r="M4" s="49"/>
      <c r="N4" s="50"/>
    </row>
    <row r="5" spans="1:14" ht="25.05" customHeight="1" x14ac:dyDescent="0.3">
      <c r="C5" s="51">
        <f>COUNTA(B9:B57)</f>
        <v>5</v>
      </c>
      <c r="D5" s="52"/>
      <c r="E5" s="53">
        <f>SUM(E9:E57)</f>
        <v>498</v>
      </c>
      <c r="F5" s="53"/>
      <c r="G5" s="54"/>
      <c r="H5" s="55">
        <f>SUM(G9:G57)</f>
        <v>1031.3</v>
      </c>
      <c r="I5" s="56"/>
      <c r="J5" s="57"/>
      <c r="K5" s="58">
        <f>SUM(H9:H57)</f>
        <v>3291.3</v>
      </c>
      <c r="L5" s="59"/>
      <c r="M5" s="59"/>
      <c r="N5" s="60"/>
    </row>
    <row r="6" spans="1:14" ht="10.050000000000001" customHeight="1" x14ac:dyDescent="0.3"/>
    <row r="7" spans="1:14" ht="30" customHeight="1" x14ac:dyDescent="0.3">
      <c r="A7" s="3"/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5</v>
      </c>
      <c r="I7" s="3" t="s">
        <v>12</v>
      </c>
      <c r="J7" s="3"/>
    </row>
    <row r="8" spans="1:14" ht="18" customHeight="1" x14ac:dyDescent="0.3"/>
    <row r="9" spans="1:14" ht="22.05" customHeight="1" x14ac:dyDescent="0.3">
      <c r="A9" s="4"/>
      <c r="B9" s="5" t="s">
        <v>13</v>
      </c>
      <c r="C9" s="1" t="s">
        <v>14</v>
      </c>
      <c r="D9" s="6" t="s">
        <v>15</v>
      </c>
      <c r="E9" s="1">
        <v>218</v>
      </c>
      <c r="F9" s="7">
        <v>30</v>
      </c>
      <c r="G9" s="8">
        <v>32.700000000000003</v>
      </c>
      <c r="H9" s="9">
        <v>62.7</v>
      </c>
      <c r="I9" s="37" t="s">
        <v>16</v>
      </c>
      <c r="J9" s="38"/>
      <c r="K9" s="38"/>
      <c r="L9" s="38"/>
      <c r="M9" s="38"/>
      <c r="N9" s="38"/>
    </row>
    <row r="10" spans="1:14" ht="22.05" customHeight="1" x14ac:dyDescent="0.3">
      <c r="A10" s="10"/>
      <c r="B10" s="11" t="s">
        <v>17</v>
      </c>
      <c r="C10" s="1" t="s">
        <v>14</v>
      </c>
      <c r="D10" s="12" t="s">
        <v>18</v>
      </c>
      <c r="E10" s="13">
        <v>45</v>
      </c>
      <c r="F10" s="7">
        <v>180</v>
      </c>
      <c r="G10" s="8">
        <v>40.5</v>
      </c>
      <c r="H10" s="9">
        <v>220.5</v>
      </c>
      <c r="I10" s="37" t="s">
        <v>16</v>
      </c>
      <c r="J10" s="38"/>
      <c r="K10" s="38"/>
      <c r="L10" s="38"/>
      <c r="M10" s="38"/>
      <c r="N10" s="38"/>
    </row>
    <row r="11" spans="1:14" ht="22.05" customHeight="1" x14ac:dyDescent="0.3">
      <c r="A11" s="4"/>
      <c r="B11" s="5" t="s">
        <v>19</v>
      </c>
      <c r="C11" s="1" t="s">
        <v>20</v>
      </c>
      <c r="D11" s="6" t="s">
        <v>21</v>
      </c>
      <c r="E11" s="2">
        <v>88</v>
      </c>
      <c r="F11" s="7">
        <v>500</v>
      </c>
      <c r="G11" s="8">
        <v>220</v>
      </c>
      <c r="H11" s="9">
        <v>720</v>
      </c>
      <c r="I11" s="37" t="s">
        <v>22</v>
      </c>
      <c r="J11" s="38"/>
      <c r="K11" s="38"/>
      <c r="L11" s="38"/>
      <c r="M11" s="38"/>
      <c r="N11" s="38"/>
    </row>
    <row r="12" spans="1:14" ht="22.05" customHeight="1" x14ac:dyDescent="0.3">
      <c r="A12" s="10"/>
      <c r="B12" s="11" t="s">
        <v>23</v>
      </c>
      <c r="C12" s="1" t="s">
        <v>24</v>
      </c>
      <c r="D12" s="12" t="s">
        <v>25</v>
      </c>
      <c r="E12" s="2">
        <v>113</v>
      </c>
      <c r="F12" s="7">
        <v>1200</v>
      </c>
      <c r="G12" s="8">
        <v>678.6</v>
      </c>
      <c r="H12" s="9">
        <v>1878.6</v>
      </c>
      <c r="I12" s="37" t="s">
        <v>26</v>
      </c>
      <c r="J12" s="38"/>
      <c r="K12" s="38"/>
      <c r="L12" s="38"/>
      <c r="M12" s="38"/>
      <c r="N12" s="38"/>
    </row>
    <row r="13" spans="1:14" ht="22.05" customHeight="1" x14ac:dyDescent="0.3">
      <c r="A13" s="4"/>
      <c r="B13" s="5" t="s">
        <v>27</v>
      </c>
      <c r="C13" s="1" t="s">
        <v>28</v>
      </c>
      <c r="D13" s="6" t="s">
        <v>29</v>
      </c>
      <c r="E13" s="13">
        <v>34</v>
      </c>
      <c r="F13" s="7">
        <v>350</v>
      </c>
      <c r="G13" s="8">
        <v>59.5</v>
      </c>
      <c r="H13" s="9">
        <v>409.5</v>
      </c>
      <c r="I13" s="37" t="s">
        <v>30</v>
      </c>
      <c r="J13" s="38"/>
      <c r="K13" s="38"/>
      <c r="L13" s="38"/>
      <c r="M13" s="38"/>
      <c r="N13" s="38"/>
    </row>
    <row r="14" spans="1:14" ht="18" customHeight="1" x14ac:dyDescent="0.3">
      <c r="A14" s="10"/>
      <c r="B14" s="14"/>
      <c r="C14" s="14"/>
      <c r="D14" s="14"/>
      <c r="E14" s="14"/>
      <c r="F14" s="14"/>
      <c r="G14" s="14"/>
      <c r="H14" s="14"/>
      <c r="I14" s="37"/>
      <c r="J14" s="38"/>
      <c r="K14" s="38"/>
      <c r="L14" s="38"/>
      <c r="M14" s="38"/>
      <c r="N14" s="38"/>
    </row>
    <row r="15" spans="1:14" ht="18" customHeight="1" x14ac:dyDescent="0.3">
      <c r="A15" s="4"/>
      <c r="B15" s="15"/>
      <c r="C15" s="15"/>
      <c r="D15" s="15"/>
      <c r="E15" s="15"/>
      <c r="F15" s="15"/>
      <c r="G15" s="15"/>
      <c r="H15" s="15"/>
      <c r="I15" s="37"/>
      <c r="J15" s="38"/>
      <c r="K15" s="38"/>
      <c r="L15" s="38"/>
      <c r="M15" s="38"/>
      <c r="N15" s="38"/>
    </row>
    <row r="16" spans="1:14" ht="18" customHeight="1" x14ac:dyDescent="0.3">
      <c r="A16" s="10"/>
      <c r="B16" s="14"/>
      <c r="C16" s="14"/>
      <c r="D16" s="14"/>
      <c r="E16" s="14"/>
      <c r="F16" s="14"/>
      <c r="G16" s="14"/>
      <c r="H16" s="14"/>
      <c r="I16" s="37"/>
      <c r="J16" s="38"/>
      <c r="K16" s="38"/>
      <c r="L16" s="38"/>
      <c r="M16" s="38"/>
      <c r="N16" s="38"/>
    </row>
    <row r="17" spans="1:14" ht="18" customHeight="1" x14ac:dyDescent="0.3">
      <c r="A17" s="4"/>
      <c r="B17" s="15"/>
      <c r="C17" s="15"/>
      <c r="D17" s="15"/>
      <c r="E17" s="15"/>
      <c r="F17" s="15"/>
      <c r="G17" s="15"/>
      <c r="H17" s="15"/>
      <c r="I17" s="37"/>
      <c r="J17" s="38"/>
      <c r="K17" s="38"/>
      <c r="L17" s="38"/>
      <c r="M17" s="38"/>
      <c r="N17" s="38"/>
    </row>
    <row r="18" spans="1:14" ht="18" customHeight="1" x14ac:dyDescent="0.3">
      <c r="A18" s="10"/>
      <c r="B18" s="14"/>
      <c r="C18" s="14"/>
      <c r="D18" s="14"/>
      <c r="E18" s="14"/>
      <c r="F18" s="14"/>
      <c r="G18" s="14"/>
      <c r="H18" s="14"/>
      <c r="I18" s="37"/>
      <c r="J18" s="38"/>
      <c r="K18" s="38"/>
      <c r="L18" s="38"/>
      <c r="M18" s="38"/>
      <c r="N18" s="38"/>
    </row>
    <row r="19" spans="1:14" ht="18" customHeight="1" x14ac:dyDescent="0.3">
      <c r="A19" s="4"/>
      <c r="B19" s="15"/>
      <c r="C19" s="15"/>
      <c r="D19" s="15"/>
      <c r="E19" s="15"/>
      <c r="F19" s="15"/>
      <c r="G19" s="15"/>
      <c r="H19" s="15"/>
      <c r="I19" s="37"/>
      <c r="J19" s="38"/>
      <c r="K19" s="38"/>
      <c r="L19" s="38"/>
      <c r="M19" s="38"/>
      <c r="N19" s="38"/>
    </row>
    <row r="20" spans="1:14" ht="18" customHeight="1" x14ac:dyDescent="0.3">
      <c r="A20" s="10"/>
      <c r="B20" s="14"/>
      <c r="C20" s="14"/>
      <c r="D20" s="14"/>
      <c r="E20" s="14"/>
      <c r="F20" s="14"/>
      <c r="G20" s="14"/>
      <c r="H20" s="14"/>
      <c r="I20" s="37"/>
      <c r="J20" s="38"/>
      <c r="K20" s="38"/>
      <c r="L20" s="38"/>
      <c r="M20" s="38"/>
      <c r="N20" s="38"/>
    </row>
    <row r="21" spans="1:14" ht="18" customHeight="1" x14ac:dyDescent="0.3">
      <c r="A21" s="4"/>
      <c r="B21" s="15"/>
      <c r="C21" s="15"/>
      <c r="D21" s="15"/>
      <c r="E21" s="15"/>
      <c r="F21" s="15"/>
      <c r="G21" s="15"/>
      <c r="H21" s="15"/>
      <c r="I21" s="37"/>
      <c r="J21" s="38"/>
      <c r="K21" s="38"/>
      <c r="L21" s="38"/>
      <c r="M21" s="38"/>
      <c r="N21" s="38"/>
    </row>
    <row r="22" spans="1:14" ht="18" customHeight="1" x14ac:dyDescent="0.3">
      <c r="A22" s="10"/>
      <c r="B22" s="14"/>
      <c r="C22" s="14"/>
      <c r="D22" s="14"/>
      <c r="E22" s="14"/>
      <c r="F22" s="14"/>
      <c r="G22" s="14"/>
      <c r="H22" s="14"/>
      <c r="I22" s="37"/>
      <c r="J22" s="38"/>
      <c r="K22" s="38"/>
      <c r="L22" s="38"/>
      <c r="M22" s="38"/>
      <c r="N22" s="38"/>
    </row>
    <row r="23" spans="1:14" ht="18" customHeight="1" x14ac:dyDescent="0.3">
      <c r="A23" s="4"/>
      <c r="B23" s="15"/>
      <c r="C23" s="15"/>
      <c r="D23" s="15"/>
      <c r="E23" s="15"/>
      <c r="F23" s="15"/>
      <c r="G23" s="15"/>
      <c r="H23" s="15"/>
      <c r="I23" s="37"/>
      <c r="J23" s="38"/>
      <c r="K23" s="38"/>
      <c r="L23" s="38"/>
      <c r="M23" s="38"/>
      <c r="N23" s="38"/>
    </row>
    <row r="24" spans="1:14" ht="18" customHeight="1" x14ac:dyDescent="0.3">
      <c r="A24" s="10"/>
      <c r="B24" s="14"/>
      <c r="C24" s="14"/>
      <c r="D24" s="14"/>
      <c r="E24" s="14"/>
      <c r="F24" s="14"/>
      <c r="G24" s="14"/>
      <c r="H24" s="14"/>
      <c r="I24" s="37"/>
      <c r="J24" s="38"/>
      <c r="K24" s="38"/>
      <c r="L24" s="38"/>
      <c r="M24" s="38"/>
      <c r="N24" s="38"/>
    </row>
    <row r="25" spans="1:14" ht="18" customHeight="1" x14ac:dyDescent="0.3">
      <c r="A25" s="4"/>
      <c r="B25" s="15"/>
      <c r="C25" s="15"/>
      <c r="D25" s="15"/>
      <c r="E25" s="15"/>
      <c r="F25" s="15"/>
      <c r="G25" s="15"/>
      <c r="H25" s="15"/>
      <c r="I25" s="37"/>
      <c r="J25" s="38"/>
      <c r="K25" s="38"/>
      <c r="L25" s="38"/>
      <c r="M25" s="38"/>
      <c r="N25" s="38"/>
    </row>
    <row r="26" spans="1:14" ht="18" customHeight="1" x14ac:dyDescent="0.3">
      <c r="A26" s="10"/>
      <c r="B26" s="14"/>
      <c r="C26" s="14"/>
      <c r="D26" s="14"/>
      <c r="E26" s="14"/>
      <c r="F26" s="14"/>
      <c r="G26" s="14"/>
      <c r="H26" s="14"/>
      <c r="I26" s="37"/>
      <c r="J26" s="38"/>
      <c r="K26" s="38"/>
      <c r="L26" s="38"/>
      <c r="M26" s="38"/>
      <c r="N26" s="38"/>
    </row>
    <row r="27" spans="1:14" ht="18" customHeight="1" x14ac:dyDescent="0.3">
      <c r="A27" s="4"/>
      <c r="B27" s="15"/>
      <c r="C27" s="15"/>
      <c r="D27" s="15"/>
      <c r="E27" s="15"/>
      <c r="F27" s="15"/>
      <c r="G27" s="15"/>
      <c r="H27" s="15"/>
      <c r="I27" s="37"/>
      <c r="J27" s="38"/>
      <c r="K27" s="38"/>
      <c r="L27" s="38"/>
      <c r="M27" s="38"/>
      <c r="N27" s="38"/>
    </row>
    <row r="28" spans="1:14" ht="18" customHeight="1" x14ac:dyDescent="0.3">
      <c r="A28" s="10"/>
      <c r="B28" s="14"/>
      <c r="C28" s="14"/>
      <c r="D28" s="14"/>
      <c r="E28" s="14"/>
      <c r="F28" s="14"/>
      <c r="G28" s="14"/>
      <c r="H28" s="14"/>
      <c r="I28" s="37"/>
      <c r="J28" s="38"/>
      <c r="K28" s="38"/>
      <c r="L28" s="38"/>
      <c r="M28" s="38"/>
      <c r="N28" s="38"/>
    </row>
    <row r="29" spans="1:14" ht="18" customHeight="1" x14ac:dyDescent="0.3">
      <c r="A29" s="4"/>
      <c r="B29" s="15"/>
      <c r="C29" s="15"/>
      <c r="D29" s="15"/>
      <c r="E29" s="15"/>
      <c r="F29" s="15"/>
      <c r="G29" s="15"/>
      <c r="H29" s="15"/>
      <c r="I29" s="37"/>
      <c r="J29" s="38"/>
      <c r="K29" s="38"/>
      <c r="L29" s="38"/>
      <c r="M29" s="38"/>
      <c r="N29" s="38"/>
    </row>
    <row r="30" spans="1:14" ht="18" customHeight="1" x14ac:dyDescent="0.3">
      <c r="A30" s="10"/>
      <c r="B30" s="14"/>
      <c r="C30" s="14"/>
      <c r="D30" s="14"/>
      <c r="E30" s="14"/>
      <c r="F30" s="14"/>
      <c r="G30" s="14"/>
      <c r="H30" s="14"/>
      <c r="I30" s="37"/>
      <c r="J30" s="38"/>
      <c r="K30" s="38"/>
      <c r="L30" s="38"/>
      <c r="M30" s="38"/>
      <c r="N30" s="38"/>
    </row>
    <row r="31" spans="1:14" ht="18" customHeight="1" x14ac:dyDescent="0.3">
      <c r="A31" s="4"/>
      <c r="B31" s="15"/>
      <c r="C31" s="15"/>
      <c r="D31" s="15"/>
      <c r="E31" s="15"/>
      <c r="F31" s="15"/>
      <c r="G31" s="15"/>
      <c r="H31" s="15"/>
      <c r="I31" s="37"/>
      <c r="J31" s="38"/>
      <c r="K31" s="38"/>
      <c r="L31" s="38"/>
      <c r="M31" s="38"/>
      <c r="N31" s="38"/>
    </row>
    <row r="32" spans="1:14" ht="18" customHeight="1" x14ac:dyDescent="0.3">
      <c r="A32" s="10"/>
      <c r="B32" s="14"/>
      <c r="C32" s="14"/>
      <c r="D32" s="14"/>
      <c r="E32" s="14"/>
      <c r="F32" s="14"/>
      <c r="G32" s="14"/>
      <c r="H32" s="14"/>
      <c r="I32" s="37"/>
      <c r="J32" s="38"/>
      <c r="K32" s="38"/>
      <c r="L32" s="38"/>
      <c r="M32" s="38"/>
      <c r="N32" s="38"/>
    </row>
    <row r="33" spans="1:14" ht="18" customHeight="1" x14ac:dyDescent="0.3">
      <c r="A33" s="4"/>
      <c r="B33" s="15"/>
      <c r="C33" s="15"/>
      <c r="D33" s="15"/>
      <c r="E33" s="15"/>
      <c r="F33" s="15"/>
      <c r="G33" s="15"/>
      <c r="H33" s="15"/>
      <c r="I33" s="37"/>
      <c r="J33" s="38"/>
      <c r="K33" s="38"/>
      <c r="L33" s="38"/>
      <c r="M33" s="38"/>
      <c r="N33" s="38"/>
    </row>
    <row r="34" spans="1:14" ht="18" customHeight="1" x14ac:dyDescent="0.3">
      <c r="A34" s="10"/>
      <c r="B34" s="14"/>
      <c r="C34" s="14"/>
      <c r="D34" s="14"/>
      <c r="E34" s="14"/>
      <c r="F34" s="14"/>
      <c r="G34" s="14"/>
      <c r="H34" s="14"/>
      <c r="I34" s="37"/>
      <c r="J34" s="38"/>
      <c r="K34" s="38"/>
      <c r="L34" s="38"/>
      <c r="M34" s="38"/>
      <c r="N34" s="38"/>
    </row>
    <row r="35" spans="1:14" ht="18" customHeight="1" x14ac:dyDescent="0.3">
      <c r="A35" s="4"/>
      <c r="B35" s="15"/>
      <c r="C35" s="15"/>
      <c r="D35" s="15"/>
      <c r="E35" s="15"/>
      <c r="F35" s="15"/>
      <c r="G35" s="15"/>
      <c r="H35" s="15"/>
      <c r="I35" s="37"/>
      <c r="J35" s="38"/>
      <c r="K35" s="38"/>
      <c r="L35" s="38"/>
      <c r="M35" s="38"/>
      <c r="N35" s="38"/>
    </row>
    <row r="36" spans="1:14" ht="18" customHeight="1" x14ac:dyDescent="0.3">
      <c r="A36" s="10"/>
      <c r="B36" s="14"/>
      <c r="C36" s="14"/>
      <c r="D36" s="14"/>
      <c r="E36" s="14"/>
      <c r="F36" s="14"/>
      <c r="G36" s="14"/>
      <c r="H36" s="14"/>
      <c r="I36" s="37"/>
      <c r="J36" s="38"/>
      <c r="K36" s="38"/>
      <c r="L36" s="38"/>
      <c r="M36" s="38"/>
      <c r="N36" s="38"/>
    </row>
    <row r="37" spans="1:14" ht="18" customHeight="1" x14ac:dyDescent="0.3">
      <c r="A37" s="4"/>
      <c r="B37" s="15"/>
      <c r="C37" s="15"/>
      <c r="D37" s="15"/>
      <c r="E37" s="15"/>
      <c r="F37" s="15"/>
      <c r="G37" s="15"/>
      <c r="H37" s="15"/>
      <c r="I37" s="37"/>
      <c r="J37" s="38"/>
      <c r="K37" s="38"/>
      <c r="L37" s="38"/>
      <c r="M37" s="38"/>
      <c r="N37" s="38"/>
    </row>
    <row r="38" spans="1:14" ht="18" customHeight="1" x14ac:dyDescent="0.3">
      <c r="A38" s="10"/>
      <c r="B38" s="14"/>
      <c r="C38" s="14"/>
      <c r="D38" s="14"/>
      <c r="E38" s="14"/>
      <c r="F38" s="14"/>
      <c r="G38" s="14"/>
      <c r="H38" s="14"/>
      <c r="I38" s="37"/>
      <c r="J38" s="38"/>
      <c r="K38" s="38"/>
      <c r="L38" s="38"/>
      <c r="M38" s="38"/>
      <c r="N38" s="38"/>
    </row>
    <row r="39" spans="1:14" ht="18" customHeight="1" x14ac:dyDescent="0.3">
      <c r="A39" s="4"/>
      <c r="B39" s="15"/>
      <c r="C39" s="15"/>
      <c r="D39" s="15"/>
      <c r="E39" s="15"/>
      <c r="F39" s="15"/>
      <c r="G39" s="15"/>
      <c r="H39" s="15"/>
      <c r="I39" s="37"/>
      <c r="J39" s="38"/>
      <c r="K39" s="38"/>
      <c r="L39" s="38"/>
      <c r="M39" s="38"/>
      <c r="N39" s="38"/>
    </row>
    <row r="40" spans="1:14" ht="18" customHeight="1" x14ac:dyDescent="0.3">
      <c r="A40" s="10"/>
      <c r="B40" s="14"/>
      <c r="C40" s="14"/>
      <c r="D40" s="14"/>
      <c r="E40" s="14"/>
      <c r="F40" s="14"/>
      <c r="G40" s="14"/>
      <c r="H40" s="14"/>
      <c r="I40" s="37"/>
      <c r="J40" s="38"/>
      <c r="K40" s="38"/>
      <c r="L40" s="38"/>
      <c r="M40" s="38"/>
      <c r="N40" s="38"/>
    </row>
    <row r="41" spans="1:14" ht="18" customHeight="1" x14ac:dyDescent="0.3">
      <c r="A41" s="4"/>
      <c r="B41" s="15"/>
      <c r="C41" s="15"/>
      <c r="D41" s="15"/>
      <c r="E41" s="15"/>
      <c r="F41" s="15"/>
      <c r="G41" s="15"/>
      <c r="H41" s="15"/>
      <c r="I41" s="37"/>
      <c r="J41" s="38"/>
      <c r="K41" s="38"/>
      <c r="L41" s="38"/>
      <c r="M41" s="38"/>
      <c r="N41" s="38"/>
    </row>
    <row r="42" spans="1:14" ht="18" customHeight="1" x14ac:dyDescent="0.3">
      <c r="A42" s="10"/>
      <c r="B42" s="14"/>
      <c r="C42" s="14"/>
      <c r="D42" s="14"/>
      <c r="E42" s="14"/>
      <c r="F42" s="14"/>
      <c r="G42" s="14"/>
      <c r="H42" s="14"/>
      <c r="I42" s="37"/>
      <c r="J42" s="38"/>
      <c r="K42" s="38"/>
      <c r="L42" s="38"/>
      <c r="M42" s="38"/>
      <c r="N42" s="38"/>
    </row>
    <row r="43" spans="1:14" ht="18" customHeight="1" x14ac:dyDescent="0.3">
      <c r="A43" s="4"/>
      <c r="B43" s="15"/>
      <c r="C43" s="15"/>
      <c r="D43" s="15"/>
      <c r="E43" s="15"/>
      <c r="F43" s="15"/>
      <c r="G43" s="15"/>
      <c r="H43" s="15"/>
      <c r="I43" s="37"/>
      <c r="J43" s="38"/>
      <c r="K43" s="38"/>
      <c r="L43" s="38"/>
      <c r="M43" s="38"/>
      <c r="N43" s="38"/>
    </row>
    <row r="44" spans="1:14" ht="18" customHeight="1" x14ac:dyDescent="0.3">
      <c r="A44" s="10"/>
      <c r="B44" s="14"/>
      <c r="C44" s="14"/>
      <c r="D44" s="14"/>
      <c r="E44" s="14"/>
      <c r="F44" s="14"/>
      <c r="G44" s="14"/>
      <c r="H44" s="14"/>
      <c r="I44" s="37"/>
      <c r="J44" s="38"/>
      <c r="K44" s="38"/>
      <c r="L44" s="38"/>
      <c r="M44" s="38"/>
      <c r="N44" s="38"/>
    </row>
    <row r="45" spans="1:14" ht="18" customHeight="1" x14ac:dyDescent="0.3">
      <c r="A45" s="4"/>
      <c r="B45" s="15"/>
      <c r="C45" s="15"/>
      <c r="D45" s="15"/>
      <c r="E45" s="15"/>
      <c r="F45" s="15"/>
      <c r="G45" s="15"/>
      <c r="H45" s="15"/>
      <c r="I45" s="37"/>
      <c r="J45" s="38"/>
      <c r="K45" s="38"/>
      <c r="L45" s="38"/>
      <c r="M45" s="38"/>
      <c r="N45" s="38"/>
    </row>
    <row r="46" spans="1:14" ht="18" customHeight="1" x14ac:dyDescent="0.3">
      <c r="A46" s="10"/>
      <c r="B46" s="14"/>
      <c r="C46" s="14"/>
      <c r="D46" s="14"/>
      <c r="E46" s="14"/>
      <c r="F46" s="14"/>
      <c r="G46" s="14"/>
      <c r="H46" s="14"/>
      <c r="I46" s="37"/>
      <c r="J46" s="38"/>
      <c r="K46" s="38"/>
      <c r="L46" s="38"/>
      <c r="M46" s="38"/>
      <c r="N46" s="38"/>
    </row>
    <row r="47" spans="1:14" ht="18" customHeight="1" x14ac:dyDescent="0.3">
      <c r="A47" s="4"/>
      <c r="B47" s="15"/>
      <c r="C47" s="15"/>
      <c r="D47" s="15"/>
      <c r="E47" s="15"/>
      <c r="F47" s="15"/>
      <c r="G47" s="15"/>
      <c r="H47" s="15"/>
      <c r="I47" s="37"/>
      <c r="J47" s="38"/>
      <c r="K47" s="38"/>
      <c r="L47" s="38"/>
      <c r="M47" s="38"/>
      <c r="N47" s="38"/>
    </row>
    <row r="48" spans="1:14" ht="18" customHeight="1" x14ac:dyDescent="0.3">
      <c r="A48" s="10"/>
      <c r="B48" s="14"/>
      <c r="C48" s="14"/>
      <c r="D48" s="14"/>
      <c r="E48" s="14"/>
      <c r="F48" s="14"/>
      <c r="G48" s="14"/>
      <c r="H48" s="14"/>
      <c r="I48" s="37"/>
      <c r="J48" s="38"/>
      <c r="K48" s="38"/>
      <c r="L48" s="38"/>
      <c r="M48" s="38"/>
      <c r="N48" s="38"/>
    </row>
    <row r="49" spans="1:14" ht="18" customHeight="1" x14ac:dyDescent="0.3">
      <c r="A49" s="4"/>
      <c r="B49" s="15"/>
      <c r="C49" s="15"/>
      <c r="D49" s="15"/>
      <c r="E49" s="15"/>
      <c r="F49" s="15"/>
      <c r="G49" s="15"/>
      <c r="H49" s="15"/>
      <c r="I49" s="37"/>
      <c r="J49" s="38"/>
      <c r="K49" s="38"/>
      <c r="L49" s="38"/>
      <c r="M49" s="38"/>
      <c r="N49" s="38"/>
    </row>
    <row r="50" spans="1:14" ht="18" customHeight="1" x14ac:dyDescent="0.3">
      <c r="A50" s="10"/>
      <c r="B50" s="14"/>
      <c r="C50" s="14"/>
      <c r="D50" s="14"/>
      <c r="E50" s="14"/>
      <c r="F50" s="14"/>
      <c r="G50" s="14"/>
      <c r="H50" s="14"/>
      <c r="I50" s="37"/>
      <c r="J50" s="38"/>
      <c r="K50" s="38"/>
      <c r="L50" s="38"/>
      <c r="M50" s="38"/>
      <c r="N50" s="38"/>
    </row>
    <row r="51" spans="1:14" ht="18" customHeight="1" x14ac:dyDescent="0.3">
      <c r="A51" s="4"/>
      <c r="B51" s="15"/>
      <c r="C51" s="15"/>
      <c r="D51" s="15"/>
      <c r="E51" s="15"/>
      <c r="F51" s="15"/>
      <c r="G51" s="15"/>
      <c r="H51" s="15"/>
      <c r="I51" s="37"/>
      <c r="J51" s="38"/>
      <c r="K51" s="38"/>
      <c r="L51" s="38"/>
      <c r="M51" s="38"/>
      <c r="N51" s="38"/>
    </row>
    <row r="52" spans="1:14" ht="18" customHeight="1" x14ac:dyDescent="0.3">
      <c r="A52" s="10"/>
      <c r="B52" s="14"/>
      <c r="C52" s="14"/>
      <c r="D52" s="14"/>
      <c r="E52" s="14"/>
      <c r="F52" s="14"/>
      <c r="G52" s="14"/>
      <c r="H52" s="14"/>
      <c r="I52" s="37"/>
      <c r="J52" s="38"/>
      <c r="K52" s="38"/>
      <c r="L52" s="38"/>
      <c r="M52" s="38"/>
      <c r="N52" s="38"/>
    </row>
    <row r="53" spans="1:14" ht="18" customHeight="1" x14ac:dyDescent="0.3">
      <c r="A53" s="4"/>
      <c r="B53" s="15"/>
      <c r="C53" s="15"/>
      <c r="D53" s="15"/>
      <c r="E53" s="15"/>
      <c r="F53" s="15"/>
      <c r="G53" s="15"/>
      <c r="H53" s="15"/>
      <c r="I53" s="37"/>
      <c r="J53" s="38"/>
      <c r="K53" s="38"/>
      <c r="L53" s="38"/>
      <c r="M53" s="38"/>
      <c r="N53" s="38"/>
    </row>
    <row r="54" spans="1:14" ht="18" customHeight="1" x14ac:dyDescent="0.3">
      <c r="A54" s="10"/>
      <c r="B54" s="14"/>
      <c r="C54" s="14"/>
      <c r="D54" s="14"/>
      <c r="E54" s="14"/>
      <c r="F54" s="14"/>
      <c r="G54" s="14"/>
      <c r="H54" s="14"/>
      <c r="I54" s="37"/>
      <c r="J54" s="38"/>
      <c r="K54" s="38"/>
      <c r="L54" s="38"/>
      <c r="M54" s="38"/>
      <c r="N54" s="38"/>
    </row>
    <row r="55" spans="1:14" ht="18" customHeight="1" x14ac:dyDescent="0.3">
      <c r="A55" s="4"/>
      <c r="B55" s="15"/>
      <c r="C55" s="15"/>
      <c r="D55" s="15"/>
      <c r="E55" s="15"/>
      <c r="F55" s="15"/>
      <c r="G55" s="15"/>
      <c r="H55" s="15"/>
      <c r="I55" s="37"/>
      <c r="J55" s="38"/>
      <c r="K55" s="38"/>
      <c r="L55" s="38"/>
      <c r="M55" s="38"/>
      <c r="N55" s="38"/>
    </row>
    <row r="56" spans="1:14" ht="18" customHeight="1" x14ac:dyDescent="0.3">
      <c r="A56" s="10"/>
      <c r="B56" s="14"/>
      <c r="C56" s="14"/>
      <c r="D56" s="14"/>
      <c r="E56" s="14"/>
      <c r="F56" s="14"/>
      <c r="G56" s="14"/>
      <c r="H56" s="14"/>
      <c r="I56" s="37"/>
      <c r="J56" s="38"/>
      <c r="K56" s="38"/>
      <c r="L56" s="38"/>
      <c r="M56" s="38"/>
      <c r="N56" s="38"/>
    </row>
    <row r="57" spans="1:14" ht="18" customHeight="1" x14ac:dyDescent="0.3">
      <c r="A57" s="4"/>
      <c r="B57" s="15"/>
      <c r="C57" s="15"/>
      <c r="D57" s="15"/>
      <c r="E57" s="15"/>
      <c r="F57" s="15"/>
      <c r="G57" s="15"/>
      <c r="H57" s="15"/>
      <c r="I57" s="37"/>
      <c r="J57" s="38"/>
      <c r="K57" s="38"/>
      <c r="L57" s="38"/>
      <c r="M57" s="38"/>
      <c r="N57" s="38"/>
    </row>
    <row r="58" spans="1:14" ht="22.05" customHeight="1" x14ac:dyDescent="0.3">
      <c r="B58" s="35" t="s">
        <v>31</v>
      </c>
      <c r="C58" s="33"/>
      <c r="D58" s="33"/>
      <c r="E58" s="33"/>
      <c r="F58" s="16">
        <f>SUM(F9:F57)</f>
        <v>2260</v>
      </c>
      <c r="G58" s="16">
        <f>SUM(G9:G57)</f>
        <v>1031.3</v>
      </c>
      <c r="H58" s="16">
        <f>SUM(H9:H57)</f>
        <v>3291.3</v>
      </c>
      <c r="I58" s="17"/>
    </row>
    <row r="60" spans="1:14" x14ac:dyDescent="0.3">
      <c r="B60" s="32" t="s">
        <v>32</v>
      </c>
      <c r="C60" s="33"/>
      <c r="D60" s="33"/>
      <c r="E60" s="33"/>
      <c r="F60" s="33"/>
      <c r="G60" s="33"/>
      <c r="H60" s="33"/>
      <c r="I60" s="33"/>
    </row>
  </sheetData>
  <mergeCells count="61">
    <mergeCell ref="E5:G5"/>
    <mergeCell ref="H4:J4"/>
    <mergeCell ref="H5:J5"/>
    <mergeCell ref="K4:N4"/>
    <mergeCell ref="K5:N5"/>
    <mergeCell ref="I53:N53"/>
    <mergeCell ref="I54:N54"/>
    <mergeCell ref="I55:N55"/>
    <mergeCell ref="I56:N56"/>
    <mergeCell ref="I57:N57"/>
    <mergeCell ref="I48:N48"/>
    <mergeCell ref="I49:N49"/>
    <mergeCell ref="I50:N50"/>
    <mergeCell ref="I51:N51"/>
    <mergeCell ref="I52:N52"/>
    <mergeCell ref="I43:N43"/>
    <mergeCell ref="I44:N44"/>
    <mergeCell ref="I45:N45"/>
    <mergeCell ref="I46:N46"/>
    <mergeCell ref="I47:N47"/>
    <mergeCell ref="I38:N38"/>
    <mergeCell ref="I39:N39"/>
    <mergeCell ref="I40:N40"/>
    <mergeCell ref="I41:N41"/>
    <mergeCell ref="I42:N42"/>
    <mergeCell ref="I33:N33"/>
    <mergeCell ref="I34:N34"/>
    <mergeCell ref="I35:N35"/>
    <mergeCell ref="I36:N36"/>
    <mergeCell ref="I37:N37"/>
    <mergeCell ref="I28:N28"/>
    <mergeCell ref="I29:N29"/>
    <mergeCell ref="I30:N30"/>
    <mergeCell ref="I31:N31"/>
    <mergeCell ref="I32:N32"/>
    <mergeCell ref="I23:N23"/>
    <mergeCell ref="I24:N24"/>
    <mergeCell ref="I25:N25"/>
    <mergeCell ref="I26:N26"/>
    <mergeCell ref="I27:N27"/>
    <mergeCell ref="I18:N18"/>
    <mergeCell ref="I19:N19"/>
    <mergeCell ref="I20:N20"/>
    <mergeCell ref="I21:N21"/>
    <mergeCell ref="I22:N22"/>
    <mergeCell ref="B2:N2"/>
    <mergeCell ref="B3:N3"/>
    <mergeCell ref="C4:D4"/>
    <mergeCell ref="C5:D5"/>
    <mergeCell ref="E4:G4"/>
    <mergeCell ref="B60:I60"/>
    <mergeCell ref="B58:E58"/>
    <mergeCell ref="I9:N9"/>
    <mergeCell ref="I10:N10"/>
    <mergeCell ref="I11:N11"/>
    <mergeCell ref="I12:N12"/>
    <mergeCell ref="I13:N13"/>
    <mergeCell ref="I14:N14"/>
    <mergeCell ref="I15:N15"/>
    <mergeCell ref="I16:N16"/>
    <mergeCell ref="I17:N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2"/>
  <sheetViews>
    <sheetView showGridLines="0" workbookViewId="0"/>
  </sheetViews>
  <sheetFormatPr defaultRowHeight="14.4" x14ac:dyDescent="0.3"/>
  <cols>
    <col min="1" max="1" width="3" customWidth="1"/>
    <col min="2" max="2" width="28" customWidth="1"/>
    <col min="3" max="4" width="14" customWidth="1"/>
    <col min="5" max="5" width="12" customWidth="1"/>
    <col min="6" max="6" width="14" customWidth="1"/>
    <col min="7" max="7" width="16" customWidth="1"/>
    <col min="8" max="8" width="14" customWidth="1"/>
    <col min="9" max="9" width="3" customWidth="1"/>
  </cols>
  <sheetData>
    <row r="2" spans="1:9" ht="34.950000000000003" customHeight="1" x14ac:dyDescent="0.3">
      <c r="B2" s="36" t="s">
        <v>33</v>
      </c>
      <c r="C2" s="33"/>
      <c r="D2" s="33"/>
      <c r="E2" s="33"/>
      <c r="F2" s="33"/>
      <c r="G2" s="33"/>
      <c r="H2" s="33"/>
    </row>
    <row r="4" spans="1:9" ht="28.05" customHeight="1" x14ac:dyDescent="0.3">
      <c r="A4" s="18"/>
      <c r="B4" s="18" t="s">
        <v>6</v>
      </c>
      <c r="C4" s="18" t="s">
        <v>7</v>
      </c>
      <c r="D4" s="18" t="s">
        <v>34</v>
      </c>
      <c r="E4" s="18" t="s">
        <v>8</v>
      </c>
      <c r="F4" s="18" t="s">
        <v>10</v>
      </c>
      <c r="G4" s="18" t="s">
        <v>35</v>
      </c>
      <c r="H4" s="18" t="s">
        <v>5</v>
      </c>
      <c r="I4" s="18"/>
    </row>
    <row r="6" spans="1:9" ht="22.05" customHeight="1" x14ac:dyDescent="0.3">
      <c r="B6" s="19" t="s">
        <v>13</v>
      </c>
      <c r="C6" s="1" t="s">
        <v>14</v>
      </c>
      <c r="D6" s="1">
        <v>218</v>
      </c>
      <c r="E6" s="20" t="s">
        <v>15</v>
      </c>
      <c r="F6" s="7">
        <v>30</v>
      </c>
      <c r="G6" s="8">
        <v>32.700000000000003</v>
      </c>
      <c r="H6" s="9">
        <f>F6+G6</f>
        <v>62.7</v>
      </c>
    </row>
    <row r="7" spans="1:9" ht="22.05" customHeight="1" x14ac:dyDescent="0.3">
      <c r="B7" s="21" t="s">
        <v>17</v>
      </c>
      <c r="C7" s="1" t="s">
        <v>14</v>
      </c>
      <c r="D7" s="13">
        <v>45</v>
      </c>
      <c r="E7" s="12" t="s">
        <v>18</v>
      </c>
      <c r="F7" s="7">
        <v>180</v>
      </c>
      <c r="G7" s="8">
        <v>40.5</v>
      </c>
      <c r="H7" s="9">
        <f>F7+G7</f>
        <v>220.5</v>
      </c>
    </row>
    <row r="8" spans="1:9" ht="22.05" customHeight="1" x14ac:dyDescent="0.3">
      <c r="B8" s="19" t="s">
        <v>19</v>
      </c>
      <c r="C8" s="1" t="s">
        <v>20</v>
      </c>
      <c r="D8" s="2">
        <v>88</v>
      </c>
      <c r="E8" s="20" t="s">
        <v>21</v>
      </c>
      <c r="F8" s="7">
        <v>500</v>
      </c>
      <c r="G8" s="8">
        <v>220</v>
      </c>
      <c r="H8" s="9">
        <f>F8+G8</f>
        <v>720</v>
      </c>
    </row>
    <row r="9" spans="1:9" ht="22.05" customHeight="1" x14ac:dyDescent="0.3">
      <c r="B9" s="21" t="s">
        <v>23</v>
      </c>
      <c r="C9" s="1" t="s">
        <v>24</v>
      </c>
      <c r="D9" s="2">
        <v>113</v>
      </c>
      <c r="E9" s="12" t="s">
        <v>25</v>
      </c>
      <c r="F9" s="7">
        <v>1200</v>
      </c>
      <c r="G9" s="8">
        <v>678.6</v>
      </c>
      <c r="H9" s="9">
        <f>F9+G9</f>
        <v>1878.6</v>
      </c>
    </row>
    <row r="10" spans="1:9" ht="22.05" customHeight="1" x14ac:dyDescent="0.3">
      <c r="B10" s="19" t="s">
        <v>27</v>
      </c>
      <c r="C10" s="1" t="s">
        <v>28</v>
      </c>
      <c r="D10" s="13">
        <v>34</v>
      </c>
      <c r="E10" s="20" t="s">
        <v>29</v>
      </c>
      <c r="F10" s="7">
        <v>350</v>
      </c>
      <c r="G10" s="8">
        <v>59.5</v>
      </c>
      <c r="H10" s="9">
        <f>F10+G10</f>
        <v>409.5</v>
      </c>
    </row>
    <row r="12" spans="1:9" x14ac:dyDescent="0.3">
      <c r="B12" s="35" t="s">
        <v>36</v>
      </c>
      <c r="C12" s="33"/>
      <c r="D12" s="33"/>
      <c r="E12" s="33"/>
      <c r="F12" s="16">
        <f>SUM(F6:F11)</f>
        <v>2260</v>
      </c>
      <c r="G12" s="16">
        <f>SUM(G6:G11)</f>
        <v>1031.3</v>
      </c>
      <c r="H12" s="16">
        <f>SUM(H6:H11)</f>
        <v>3291.3</v>
      </c>
    </row>
  </sheetData>
  <mergeCells count="2">
    <mergeCell ref="B12:E12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6"/>
  <sheetViews>
    <sheetView showGridLines="0" workbookViewId="0"/>
  </sheetViews>
  <sheetFormatPr defaultRowHeight="14.4" x14ac:dyDescent="0.3"/>
  <cols>
    <col min="1" max="1" width="3" customWidth="1"/>
    <col min="2" max="2" width="18" customWidth="1"/>
    <col min="3" max="3" width="12" customWidth="1"/>
    <col min="4" max="6" width="16" customWidth="1"/>
    <col min="7" max="7" width="3" customWidth="1"/>
  </cols>
  <sheetData>
    <row r="2" spans="1:7" ht="34.950000000000003" customHeight="1" x14ac:dyDescent="0.3">
      <c r="B2" s="36" t="s">
        <v>37</v>
      </c>
      <c r="C2" s="33"/>
      <c r="D2" s="33"/>
      <c r="E2" s="33"/>
      <c r="F2" s="33"/>
    </row>
    <row r="4" spans="1:7" ht="28.05" customHeight="1" x14ac:dyDescent="0.3">
      <c r="A4" s="18"/>
      <c r="B4" s="18" t="s">
        <v>7</v>
      </c>
      <c r="C4" s="18" t="s">
        <v>38</v>
      </c>
      <c r="D4" s="18" t="s">
        <v>10</v>
      </c>
      <c r="E4" s="18" t="s">
        <v>11</v>
      </c>
      <c r="F4" s="18" t="s">
        <v>5</v>
      </c>
      <c r="G4" s="18"/>
    </row>
    <row r="6" spans="1:7" ht="22.05" customHeight="1" x14ac:dyDescent="0.3">
      <c r="B6" s="22" t="s">
        <v>39</v>
      </c>
      <c r="C6" s="23">
        <v>0</v>
      </c>
      <c r="D6" s="7">
        <v>0</v>
      </c>
      <c r="E6" s="8">
        <v>0</v>
      </c>
      <c r="F6" s="9">
        <f t="shared" ref="F6:F14" si="0">D6+E6</f>
        <v>0</v>
      </c>
    </row>
    <row r="7" spans="1:7" ht="22.05" customHeight="1" x14ac:dyDescent="0.3">
      <c r="B7" s="24" t="s">
        <v>40</v>
      </c>
      <c r="C7" s="23">
        <v>0</v>
      </c>
      <c r="D7" s="7">
        <v>0</v>
      </c>
      <c r="E7" s="8">
        <v>0</v>
      </c>
      <c r="F7" s="9">
        <f t="shared" si="0"/>
        <v>0</v>
      </c>
    </row>
    <row r="8" spans="1:7" ht="22.05" customHeight="1" x14ac:dyDescent="0.3">
      <c r="B8" s="25" t="s">
        <v>41</v>
      </c>
      <c r="C8" s="23">
        <v>0</v>
      </c>
      <c r="D8" s="7">
        <v>0</v>
      </c>
      <c r="E8" s="8">
        <v>0</v>
      </c>
      <c r="F8" s="9">
        <f t="shared" si="0"/>
        <v>0</v>
      </c>
    </row>
    <row r="9" spans="1:7" ht="22.05" customHeight="1" x14ac:dyDescent="0.3">
      <c r="B9" s="26" t="s">
        <v>42</v>
      </c>
      <c r="C9" s="23">
        <v>0</v>
      </c>
      <c r="D9" s="7">
        <v>0</v>
      </c>
      <c r="E9" s="8">
        <v>0</v>
      </c>
      <c r="F9" s="9">
        <f t="shared" si="0"/>
        <v>0</v>
      </c>
    </row>
    <row r="10" spans="1:7" ht="22.05" customHeight="1" x14ac:dyDescent="0.3">
      <c r="B10" s="27" t="s">
        <v>43</v>
      </c>
      <c r="C10" s="23">
        <v>0</v>
      </c>
      <c r="D10" s="7">
        <v>0</v>
      </c>
      <c r="E10" s="8">
        <v>0</v>
      </c>
      <c r="F10" s="9">
        <f t="shared" si="0"/>
        <v>0</v>
      </c>
    </row>
    <row r="11" spans="1:7" ht="22.05" customHeight="1" x14ac:dyDescent="0.3">
      <c r="B11" s="28" t="s">
        <v>28</v>
      </c>
      <c r="C11" s="23">
        <v>1</v>
      </c>
      <c r="D11" s="7">
        <v>350</v>
      </c>
      <c r="E11" s="8">
        <v>59.5</v>
      </c>
      <c r="F11" s="9">
        <f t="shared" si="0"/>
        <v>409.5</v>
      </c>
    </row>
    <row r="12" spans="1:7" ht="22.05" customHeight="1" x14ac:dyDescent="0.3">
      <c r="B12" s="29" t="s">
        <v>24</v>
      </c>
      <c r="C12" s="23">
        <v>1</v>
      </c>
      <c r="D12" s="7">
        <v>1200</v>
      </c>
      <c r="E12" s="8">
        <v>678.6</v>
      </c>
      <c r="F12" s="9">
        <f t="shared" si="0"/>
        <v>1878.6</v>
      </c>
    </row>
    <row r="13" spans="1:7" ht="22.05" customHeight="1" x14ac:dyDescent="0.3">
      <c r="B13" s="30" t="s">
        <v>20</v>
      </c>
      <c r="C13" s="23">
        <v>1</v>
      </c>
      <c r="D13" s="7">
        <v>500</v>
      </c>
      <c r="E13" s="8">
        <v>220</v>
      </c>
      <c r="F13" s="9">
        <f t="shared" si="0"/>
        <v>720</v>
      </c>
    </row>
    <row r="14" spans="1:7" ht="22.05" customHeight="1" x14ac:dyDescent="0.3">
      <c r="B14" s="31" t="s">
        <v>14</v>
      </c>
      <c r="C14" s="23">
        <v>3</v>
      </c>
      <c r="D14" s="7">
        <v>210</v>
      </c>
      <c r="E14" s="8">
        <v>73.2</v>
      </c>
      <c r="F14" s="9">
        <f t="shared" si="0"/>
        <v>283.2</v>
      </c>
    </row>
    <row r="16" spans="1:7" x14ac:dyDescent="0.3">
      <c r="B16" s="35" t="s">
        <v>44</v>
      </c>
      <c r="C16" s="33"/>
      <c r="D16" s="16">
        <f>SUM(D6:D15)</f>
        <v>2260</v>
      </c>
      <c r="E16" s="16">
        <f>SUM(E6:E15)</f>
        <v>1031.3</v>
      </c>
      <c r="F16" s="16">
        <f>SUM(F6:F15)</f>
        <v>3291.2999999999997</v>
      </c>
    </row>
  </sheetData>
  <mergeCells count="2">
    <mergeCell ref="B2:F2"/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Executivo</vt:lpstr>
      <vt:lpstr>Detalhamento por Cliente</vt:lpstr>
      <vt:lpstr>Análise por Etapa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K. Medeiros</cp:lastModifiedBy>
  <dcterms:created xsi:type="dcterms:W3CDTF">2026-05-14T14:56:51Z</dcterms:created>
  <dcterms:modified xsi:type="dcterms:W3CDTF">2026-05-14T15:27:02Z</dcterms:modified>
</cp:coreProperties>
</file>