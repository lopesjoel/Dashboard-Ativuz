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bm\OneDrive\Documentos\projeto_ativuz\docx_templates\"/>
    </mc:Choice>
  </mc:AlternateContent>
  <xr:revisionPtr revIDLastSave="0" documentId="13_ncr:1_{2404B7B9-C6F4-450C-8C27-C03EA3B5E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ta_FIPE" sheetId="1" r:id="rId1"/>
    <sheet name="Codigos_FIPE_Uni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1" l="1"/>
  <c r="X46" i="1"/>
  <c r="W46" i="1"/>
  <c r="V46" i="1"/>
  <c r="U46" i="1"/>
  <c r="T46" i="1"/>
  <c r="Q46" i="1"/>
  <c r="P46" i="1"/>
  <c r="O46" i="1"/>
  <c r="N46" i="1"/>
  <c r="M46" i="1"/>
  <c r="L46" i="1"/>
  <c r="K46" i="1"/>
  <c r="J46" i="1"/>
  <c r="I46" i="1"/>
  <c r="H46" i="1"/>
  <c r="G46" i="1"/>
  <c r="F46" i="1"/>
</calcChain>
</file>

<file path=xl/sharedStrings.xml><?xml version="1.0" encoding="utf-8"?>
<sst xmlns="http://schemas.openxmlformats.org/spreadsheetml/2006/main" count="280" uniqueCount="140">
  <si>
    <t>HISTÓRICO FIPE 2025 (R$)</t>
  </si>
  <si>
    <t>MODELO</t>
  </si>
  <si>
    <t>PLACA</t>
  </si>
  <si>
    <t>ANO/MODELO</t>
  </si>
  <si>
    <t>COD_FIPE</t>
  </si>
  <si>
    <t>DT_AQUISICAO</t>
  </si>
  <si>
    <t>VL_AQUISICAO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</si>
  <si>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</si>
  <si>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</si>
  <si>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</si>
  <si>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</si>
  <si>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</si>
  <si>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</si>
  <si>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</si>
  <si>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</si>
  <si>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</si>
  <si>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</si>
  <si>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</si>
  <si>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</si>
  <si>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VAR_PCT_2025</t>
  </si>
  <si>
    <t>VAR_RS_2025</t>
  </si>
  <si>
    <t>JAN/26</t>
  </si>
  <si>
    <t>FEV/26</t>
  </si>
  <si>
    <t>MAR/26</t>
  </si>
  <si>
    <t>GOL</t>
  </si>
  <si>
    <t>QGN7029</t>
  </si>
  <si>
    <t>2017/2018</t>
  </si>
  <si>
    <t>005455-0</t>
  </si>
  <si>
    <t>01/02/2023</t>
  </si>
  <si>
    <t>QGW2B89</t>
  </si>
  <si>
    <t>2019/2020</t>
  </si>
  <si>
    <t>005490-9</t>
  </si>
  <si>
    <t>11/05/2023</t>
  </si>
  <si>
    <t>QGT6I05</t>
  </si>
  <si>
    <t>15/05/2023</t>
  </si>
  <si>
    <t>QGX7353</t>
  </si>
  <si>
    <t>2018/2018</t>
  </si>
  <si>
    <t>31/05/2023</t>
  </si>
  <si>
    <t>RGE5D51</t>
  </si>
  <si>
    <t>2021/2021</t>
  </si>
  <si>
    <t>14/07/2023</t>
  </si>
  <si>
    <t>RGE7G92</t>
  </si>
  <si>
    <t>RGE7H02</t>
  </si>
  <si>
    <t>QGN9206</t>
  </si>
  <si>
    <t>2018/2019</t>
  </si>
  <si>
    <t>04/07/2023</t>
  </si>
  <si>
    <t>QGT9D76</t>
  </si>
  <si>
    <t>2020/2021</t>
  </si>
  <si>
    <t>26/08/2023</t>
  </si>
  <si>
    <t>QGT9D86</t>
  </si>
  <si>
    <t>27/09/2023</t>
  </si>
  <si>
    <t>RGE7H03</t>
  </si>
  <si>
    <t>16/09/2023</t>
  </si>
  <si>
    <t>RGE5D71</t>
  </si>
  <si>
    <t>28/09/2023</t>
  </si>
  <si>
    <t>VOYAGE</t>
  </si>
  <si>
    <t>QGQ2837</t>
  </si>
  <si>
    <t>005493-3</t>
  </si>
  <si>
    <t>17/01/2024</t>
  </si>
  <si>
    <t>QGT1D67</t>
  </si>
  <si>
    <t>16/01/2024</t>
  </si>
  <si>
    <t>QGU1H54</t>
  </si>
  <si>
    <t>2019/2019</t>
  </si>
  <si>
    <t>QSE8E63</t>
  </si>
  <si>
    <t>22/02/2024</t>
  </si>
  <si>
    <t>QGS6G16</t>
  </si>
  <si>
    <t>QGN9356</t>
  </si>
  <si>
    <t>11/03/2024</t>
  </si>
  <si>
    <t>QGS5J76</t>
  </si>
  <si>
    <t>005491-7</t>
  </si>
  <si>
    <t>SANDERO</t>
  </si>
  <si>
    <t>QXL1E71</t>
  </si>
  <si>
    <t>025284-0</t>
  </si>
  <si>
    <t>31/05/2024</t>
  </si>
  <si>
    <t>RMK2H75</t>
  </si>
  <si>
    <t>2021/2022</t>
  </si>
  <si>
    <t>005492-5</t>
  </si>
  <si>
    <t>28/06/2024</t>
  </si>
  <si>
    <t>EGX2E31</t>
  </si>
  <si>
    <t>2022/2023</t>
  </si>
  <si>
    <t>15/08/2024</t>
  </si>
  <si>
    <t>RGE3I66</t>
  </si>
  <si>
    <t>05/09/2024</t>
  </si>
  <si>
    <t>END0I15</t>
  </si>
  <si>
    <t>10/09/2024</t>
  </si>
  <si>
    <t>START</t>
  </si>
  <si>
    <t>RQI7A69</t>
  </si>
  <si>
    <t>2024/2024</t>
  </si>
  <si>
    <t>811139-1</t>
  </si>
  <si>
    <t>03/09/2024</t>
  </si>
  <si>
    <t>RQI7A89</t>
  </si>
  <si>
    <t>BROSS</t>
  </si>
  <si>
    <t>RQJ7H29</t>
  </si>
  <si>
    <t>811130-8</t>
  </si>
  <si>
    <t>16/09/2024</t>
  </si>
  <si>
    <t>FJV6E53</t>
  </si>
  <si>
    <t>30/09/2024</t>
  </si>
  <si>
    <t>EZY6E03</t>
  </si>
  <si>
    <t>16/10/2024</t>
  </si>
  <si>
    <t>ECZ8C02</t>
  </si>
  <si>
    <t>19/11/2024</t>
  </si>
  <si>
    <t>EJZ3D41</t>
  </si>
  <si>
    <t>31/12/2024</t>
  </si>
  <si>
    <t>EVE7G53</t>
  </si>
  <si>
    <t>17/02/2025</t>
  </si>
  <si>
    <t>EXF1F14</t>
  </si>
  <si>
    <t>14/02/2025</t>
  </si>
  <si>
    <t>EWJ2I45</t>
  </si>
  <si>
    <t>20/03/2025</t>
  </si>
  <si>
    <t>ECM1C93</t>
  </si>
  <si>
    <t>23/03/2025</t>
  </si>
  <si>
    <t>QMD-1E63</t>
  </si>
  <si>
    <t>005380-5</t>
  </si>
  <si>
    <t>09/04/2025</t>
  </si>
  <si>
    <t>RNC4J20</t>
  </si>
  <si>
    <t>28/05/2025</t>
  </si>
  <si>
    <t>ELY4D83</t>
  </si>
  <si>
    <t>24/06/2025</t>
  </si>
  <si>
    <t>RUC5C24</t>
  </si>
  <si>
    <t>14/11/2025</t>
  </si>
  <si>
    <t>RUC8C45</t>
  </si>
  <si>
    <t>24/12/2025</t>
  </si>
  <si>
    <t>EFF7I05</t>
  </si>
  <si>
    <t>24/01/2026</t>
  </si>
  <si>
    <t>GIY6G96</t>
  </si>
  <si>
    <t>24/02/2026</t>
  </si>
  <si>
    <t>EMQ6C26</t>
  </si>
  <si>
    <t>27/02/2026</t>
  </si>
  <si>
    <t>ANO_MODELO</t>
  </si>
  <si>
    <t>QTD_VEICULOS</t>
  </si>
  <si>
    <t>ENDPOINT_API</t>
  </si>
  <si>
    <t>https://brasilapi.com.br/api/fipe/preco/v1/005380-5</t>
  </si>
  <si>
    <t>https://brasilapi.com.br/api/fipe/preco/v1/005455-0</t>
  </si>
  <si>
    <t>https://brasilapi.com.br/api/fipe/preco/v1/005490-9</t>
  </si>
  <si>
    <t>https://brasilapi.com.br/api/fipe/preco/v1/005491-7</t>
  </si>
  <si>
    <t>https://brasilapi.com.br/api/fipe/preco/v1/005492-5</t>
  </si>
  <si>
    <t>https://brasilapi.com.br/api/fipe/preco/v1/005493-3</t>
  </si>
  <si>
    <t>https://brasilapi.com.br/api/fipe/preco/v1/025284-0</t>
  </si>
  <si>
    <t>https://brasilapi.com.br/api/fipe/preco/v1/811130-8</t>
  </si>
  <si>
    <t>https://brasilapi.com.br/api/fipe/preco/v1/811139-1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</si>
</sst>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"/>
    <numFmt numFmtId="165" formatCode="0.00&quot;%&quot;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D6B2F"/>
      <name val="Arial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5F8A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E8F7EF"/>
      </patternFill>
    </fill>
    <fill>
      <patternFill patternType="solid">
        <fgColor rgb="FFD4EDDA"/>
      </patternFill>
    </fill>
    <fill>
      <patternFill patternType="solid">
        <fgColor rgb="FFF0F7FF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abSelected="1" workbookViewId="0">
      <pane xSplit="1" ySplit="2" topLeftCell="R3" activePane="bottomRight" state="frozen"/>
      <selection pane="topRight"/>
      <selection pane="bottomLeft"/>
      <selection pane="bottomRight" activeCell="V46" sqref="V46"/>
    </sheetView>
  </sheetViews>
  <sheetFormatPr defaultRowHeight="14.4" x14ac:dyDescent="0.3"/>
  <cols>
    <col min="1" max="1" width="10" customWidth="1"/>
    <col min="2" max="4" width="12" customWidth="1"/>
    <col min="5" max="5" width="14" customWidth="1"/>
    <col min="6" max="6" width="16" customWidth="1"/>
    <col min="7" max="18" width="12" bestFit="1" customWidth="1"/>
    <col min="19" max="20" width="14" customWidth="1"/>
    <col min="21" max="24" width="12" bestFit="1" customWidth="1"/>
    <col min="25" max="25" width="18" customWidth="1"/>
  </cols>
  <sheetData>
    <row r="1" spans="1:25" ht="19.9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5"/>
    </row>
    <row r="2" spans="1:25" ht="40.049999999999997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16">
        <v>46113</v>
      </c>
      <c r="Y2" s="16">
        <v>46143</v>
      </c>
    </row>
    <row r="3" spans="1:25" ht="18" customHeight="1" x14ac:dyDescent="0.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4">
        <v>37000</v>
      </c>
      <c r="G3" s="5">
        <v>42654</v>
      </c>
      <c r="H3" s="5">
        <v>42512</v>
      </c>
      <c r="I3" s="5">
        <v>42774</v>
      </c>
      <c r="J3" s="5">
        <v>42537</v>
      </c>
      <c r="K3" s="5">
        <v>42303</v>
      </c>
      <c r="L3" s="5">
        <v>42788</v>
      </c>
      <c r="M3" s="5">
        <v>42878</v>
      </c>
      <c r="N3" s="5">
        <v>43048</v>
      </c>
      <c r="O3" s="5">
        <v>42576</v>
      </c>
      <c r="P3" s="5">
        <v>42026</v>
      </c>
      <c r="Q3" s="5">
        <v>41988</v>
      </c>
      <c r="R3" s="5">
        <v>41224</v>
      </c>
      <c r="S3" s="6">
        <v>-3.3525999999999998</v>
      </c>
      <c r="T3" s="5">
        <v>-1430</v>
      </c>
      <c r="U3" s="7">
        <v>41482</v>
      </c>
      <c r="V3" s="7">
        <v>41372</v>
      </c>
      <c r="W3" s="7">
        <v>41152</v>
      </c>
      <c r="X3" s="7">
        <v>40827</v>
      </c>
      <c r="Y3" s="8"/>
    </row>
    <row r="4" spans="1:25" ht="18" customHeight="1" x14ac:dyDescent="0.3">
      <c r="A4" s="3" t="s">
        <v>24</v>
      </c>
      <c r="B4" s="3" t="s">
        <v>29</v>
      </c>
      <c r="C4" s="3" t="s">
        <v>30</v>
      </c>
      <c r="D4" s="3" t="s">
        <v>31</v>
      </c>
      <c r="E4" s="3" t="s">
        <v>32</v>
      </c>
      <c r="F4" s="4">
        <v>41500</v>
      </c>
      <c r="G4" s="9">
        <v>47145</v>
      </c>
      <c r="H4" s="9">
        <v>47368</v>
      </c>
      <c r="I4" s="9">
        <v>47100</v>
      </c>
      <c r="J4" s="9">
        <v>46471</v>
      </c>
      <c r="K4" s="9">
        <v>46457</v>
      </c>
      <c r="L4" s="9">
        <v>46166</v>
      </c>
      <c r="M4" s="9">
        <v>45599</v>
      </c>
      <c r="N4" s="9">
        <v>45472</v>
      </c>
      <c r="O4" s="9">
        <v>44906</v>
      </c>
      <c r="P4" s="9">
        <v>44738</v>
      </c>
      <c r="Q4" s="9">
        <v>44583</v>
      </c>
      <c r="R4" s="9">
        <v>44689</v>
      </c>
      <c r="S4" s="10">
        <v>-5.2095000000000002</v>
      </c>
      <c r="T4" s="9">
        <v>-2456</v>
      </c>
      <c r="U4" s="7">
        <v>44671</v>
      </c>
      <c r="V4" s="7">
        <v>43946</v>
      </c>
      <c r="W4" s="7">
        <v>43300</v>
      </c>
      <c r="X4" s="7">
        <v>44684</v>
      </c>
      <c r="Y4" s="8"/>
    </row>
    <row r="5" spans="1:25" ht="18" customHeight="1" x14ac:dyDescent="0.3">
      <c r="A5" s="3" t="s">
        <v>24</v>
      </c>
      <c r="B5" s="3" t="s">
        <v>33</v>
      </c>
      <c r="C5" s="3" t="s">
        <v>30</v>
      </c>
      <c r="D5" s="3" t="s">
        <v>31</v>
      </c>
      <c r="E5" s="3" t="s">
        <v>34</v>
      </c>
      <c r="F5" s="4">
        <v>41500</v>
      </c>
      <c r="G5" s="5">
        <v>47145</v>
      </c>
      <c r="H5" s="5">
        <v>47368</v>
      </c>
      <c r="I5" s="5">
        <v>47100</v>
      </c>
      <c r="J5" s="5">
        <v>46471</v>
      </c>
      <c r="K5" s="5">
        <v>46457</v>
      </c>
      <c r="L5" s="5">
        <v>46166</v>
      </c>
      <c r="M5" s="5">
        <v>45599</v>
      </c>
      <c r="N5" s="5">
        <v>45472</v>
      </c>
      <c r="O5" s="5">
        <v>44906</v>
      </c>
      <c r="P5" s="5">
        <v>44738</v>
      </c>
      <c r="Q5" s="5">
        <v>44583</v>
      </c>
      <c r="R5" s="5">
        <v>44689</v>
      </c>
      <c r="S5" s="6">
        <v>-5.2095000000000002</v>
      </c>
      <c r="T5" s="5">
        <v>-2456</v>
      </c>
      <c r="U5" s="7">
        <v>44671</v>
      </c>
      <c r="V5" s="7">
        <v>43946</v>
      </c>
      <c r="W5" s="7">
        <v>43300</v>
      </c>
      <c r="X5" s="7">
        <v>44684</v>
      </c>
      <c r="Y5" s="8"/>
    </row>
    <row r="6" spans="1:25" ht="18" customHeight="1" x14ac:dyDescent="0.3">
      <c r="A6" s="3" t="s">
        <v>24</v>
      </c>
      <c r="B6" s="3" t="s">
        <v>35</v>
      </c>
      <c r="C6" s="3" t="s">
        <v>36</v>
      </c>
      <c r="D6" s="3" t="s">
        <v>27</v>
      </c>
      <c r="E6" s="3" t="s">
        <v>37</v>
      </c>
      <c r="F6" s="4">
        <v>38000</v>
      </c>
      <c r="G6" s="9">
        <v>42654</v>
      </c>
      <c r="H6" s="9">
        <v>42512</v>
      </c>
      <c r="I6" s="9">
        <v>42774</v>
      </c>
      <c r="J6" s="9">
        <v>42537</v>
      </c>
      <c r="K6" s="9">
        <v>42303</v>
      </c>
      <c r="L6" s="9">
        <v>42788</v>
      </c>
      <c r="M6" s="9">
        <v>42878</v>
      </c>
      <c r="N6" s="9">
        <v>43048</v>
      </c>
      <c r="O6" s="9">
        <v>42576</v>
      </c>
      <c r="P6" s="9">
        <v>42026</v>
      </c>
      <c r="Q6" s="9">
        <v>41988</v>
      </c>
      <c r="R6" s="9">
        <v>41224</v>
      </c>
      <c r="S6" s="10">
        <v>-3.3525999999999998</v>
      </c>
      <c r="T6" s="9">
        <v>-1430</v>
      </c>
      <c r="U6" s="7">
        <v>41482</v>
      </c>
      <c r="V6" s="7">
        <v>41372</v>
      </c>
      <c r="W6" s="7">
        <v>41152</v>
      </c>
      <c r="X6" s="7">
        <v>40827</v>
      </c>
      <c r="Y6" s="8"/>
    </row>
    <row r="7" spans="1:25" ht="18" customHeight="1" x14ac:dyDescent="0.3">
      <c r="A7" s="3" t="s">
        <v>24</v>
      </c>
      <c r="B7" s="3" t="s">
        <v>38</v>
      </c>
      <c r="C7" s="3" t="s">
        <v>39</v>
      </c>
      <c r="D7" s="3" t="s">
        <v>31</v>
      </c>
      <c r="E7" s="3" t="s">
        <v>40</v>
      </c>
      <c r="F7" s="4">
        <v>41250</v>
      </c>
      <c r="G7" s="5">
        <v>49675</v>
      </c>
      <c r="H7" s="5">
        <v>49585</v>
      </c>
      <c r="I7" s="5">
        <v>49307</v>
      </c>
      <c r="J7" s="5">
        <v>49464</v>
      </c>
      <c r="K7" s="5">
        <v>49222</v>
      </c>
      <c r="L7" s="5">
        <v>49461</v>
      </c>
      <c r="M7" s="5">
        <v>48960</v>
      </c>
      <c r="N7" s="5">
        <v>48279</v>
      </c>
      <c r="O7" s="5">
        <v>47486</v>
      </c>
      <c r="P7" s="5">
        <v>47453</v>
      </c>
      <c r="Q7" s="5">
        <v>46966</v>
      </c>
      <c r="R7" s="5">
        <v>47268</v>
      </c>
      <c r="S7" s="6">
        <v>-4.8455000000000004</v>
      </c>
      <c r="T7" s="5">
        <v>-2407</v>
      </c>
      <c r="U7" s="7">
        <v>46865</v>
      </c>
      <c r="V7" s="7">
        <v>45742</v>
      </c>
      <c r="W7" s="7">
        <v>45301</v>
      </c>
      <c r="X7" s="7">
        <v>46355</v>
      </c>
      <c r="Y7" s="8"/>
    </row>
    <row r="8" spans="1:25" ht="18" customHeight="1" x14ac:dyDescent="0.3">
      <c r="A8" s="3" t="s">
        <v>24</v>
      </c>
      <c r="B8" s="3" t="s">
        <v>41</v>
      </c>
      <c r="C8" s="3" t="s">
        <v>39</v>
      </c>
      <c r="D8" s="3" t="s">
        <v>31</v>
      </c>
      <c r="E8" s="3" t="s">
        <v>40</v>
      </c>
      <c r="F8" s="4">
        <v>41250</v>
      </c>
      <c r="G8" s="9">
        <v>49675</v>
      </c>
      <c r="H8" s="9">
        <v>49585</v>
      </c>
      <c r="I8" s="9">
        <v>49307</v>
      </c>
      <c r="J8" s="9">
        <v>49464</v>
      </c>
      <c r="K8" s="9">
        <v>49222</v>
      </c>
      <c r="L8" s="9">
        <v>49461</v>
      </c>
      <c r="M8" s="9">
        <v>48960</v>
      </c>
      <c r="N8" s="9">
        <v>48279</v>
      </c>
      <c r="O8" s="9">
        <v>47486</v>
      </c>
      <c r="P8" s="9">
        <v>47453</v>
      </c>
      <c r="Q8" s="9">
        <v>46966</v>
      </c>
      <c r="R8" s="9">
        <v>47268</v>
      </c>
      <c r="S8" s="10">
        <v>-4.8455000000000004</v>
      </c>
      <c r="T8" s="9">
        <v>-2407</v>
      </c>
      <c r="U8" s="7">
        <v>46865</v>
      </c>
      <c r="V8" s="7">
        <v>45742</v>
      </c>
      <c r="W8" s="7">
        <v>45301</v>
      </c>
      <c r="X8" s="7">
        <v>46355</v>
      </c>
      <c r="Y8" s="8"/>
    </row>
    <row r="9" spans="1:25" ht="18" customHeight="1" x14ac:dyDescent="0.3">
      <c r="A9" s="3" t="s">
        <v>24</v>
      </c>
      <c r="B9" s="3" t="s">
        <v>42</v>
      </c>
      <c r="C9" s="3" t="s">
        <v>39</v>
      </c>
      <c r="D9" s="3" t="s">
        <v>31</v>
      </c>
      <c r="E9" s="3" t="s">
        <v>40</v>
      </c>
      <c r="F9" s="4">
        <v>41500</v>
      </c>
      <c r="G9" s="5">
        <v>49675</v>
      </c>
      <c r="H9" s="5">
        <v>49585</v>
      </c>
      <c r="I9" s="5">
        <v>49307</v>
      </c>
      <c r="J9" s="5">
        <v>49464</v>
      </c>
      <c r="K9" s="5">
        <v>49222</v>
      </c>
      <c r="L9" s="5">
        <v>49461</v>
      </c>
      <c r="M9" s="5">
        <v>48960</v>
      </c>
      <c r="N9" s="5">
        <v>48279</v>
      </c>
      <c r="O9" s="5">
        <v>47486</v>
      </c>
      <c r="P9" s="5">
        <v>47453</v>
      </c>
      <c r="Q9" s="5">
        <v>46966</v>
      </c>
      <c r="R9" s="5">
        <v>47268</v>
      </c>
      <c r="S9" s="6">
        <v>-4.8455000000000004</v>
      </c>
      <c r="T9" s="5">
        <v>-2407</v>
      </c>
      <c r="U9" s="7">
        <v>46865</v>
      </c>
      <c r="V9" s="7">
        <v>45742</v>
      </c>
      <c r="W9" s="7">
        <v>45301</v>
      </c>
      <c r="X9" s="7">
        <v>46355</v>
      </c>
      <c r="Y9" s="8"/>
    </row>
    <row r="10" spans="1:25" ht="18" customHeight="1" x14ac:dyDescent="0.3">
      <c r="A10" s="3" t="s">
        <v>24</v>
      </c>
      <c r="B10" s="3" t="s">
        <v>43</v>
      </c>
      <c r="C10" s="3" t="s">
        <v>44</v>
      </c>
      <c r="D10" s="3" t="s">
        <v>31</v>
      </c>
      <c r="E10" s="3" t="s">
        <v>45</v>
      </c>
      <c r="F10" s="4">
        <v>39000</v>
      </c>
      <c r="G10" s="9">
        <v>44013</v>
      </c>
      <c r="H10" s="9">
        <v>43926</v>
      </c>
      <c r="I10" s="9">
        <v>44125</v>
      </c>
      <c r="J10" s="9">
        <v>42880</v>
      </c>
      <c r="K10" s="9">
        <v>43489</v>
      </c>
      <c r="L10" s="9">
        <v>43351</v>
      </c>
      <c r="M10" s="9">
        <v>42639</v>
      </c>
      <c r="N10" s="9">
        <v>43178</v>
      </c>
      <c r="O10" s="9">
        <v>42911</v>
      </c>
      <c r="P10" s="9">
        <v>41679</v>
      </c>
      <c r="Q10" s="9">
        <v>41335</v>
      </c>
      <c r="R10" s="9">
        <v>41322</v>
      </c>
      <c r="S10" s="10">
        <v>-6.1140999999999996</v>
      </c>
      <c r="T10" s="9">
        <v>-2691</v>
      </c>
      <c r="U10" s="7">
        <v>41131</v>
      </c>
      <c r="V10" s="7">
        <v>40087</v>
      </c>
      <c r="W10" s="7">
        <v>40142</v>
      </c>
      <c r="X10" s="7">
        <v>41546</v>
      </c>
      <c r="Y10" s="8"/>
    </row>
    <row r="11" spans="1:25" ht="18" customHeight="1" x14ac:dyDescent="0.3">
      <c r="A11" s="3" t="s">
        <v>24</v>
      </c>
      <c r="B11" s="3" t="s">
        <v>46</v>
      </c>
      <c r="C11" s="3" t="s">
        <v>47</v>
      </c>
      <c r="D11" s="3" t="s">
        <v>31</v>
      </c>
      <c r="E11" s="3" t="s">
        <v>48</v>
      </c>
      <c r="F11" s="4">
        <v>42200</v>
      </c>
      <c r="G11" s="5">
        <v>49675</v>
      </c>
      <c r="H11" s="5">
        <v>49585</v>
      </c>
      <c r="I11" s="5">
        <v>49307</v>
      </c>
      <c r="J11" s="5">
        <v>49464</v>
      </c>
      <c r="K11" s="5">
        <v>49222</v>
      </c>
      <c r="L11" s="5">
        <v>49461</v>
      </c>
      <c r="M11" s="5">
        <v>48960</v>
      </c>
      <c r="N11" s="5">
        <v>48279</v>
      </c>
      <c r="O11" s="5">
        <v>47486</v>
      </c>
      <c r="P11" s="5">
        <v>47453</v>
      </c>
      <c r="Q11" s="5">
        <v>46966</v>
      </c>
      <c r="R11" s="5">
        <v>47268</v>
      </c>
      <c r="S11" s="6">
        <v>-4.8455000000000004</v>
      </c>
      <c r="T11" s="5">
        <v>-2407</v>
      </c>
      <c r="U11" s="7">
        <v>46865</v>
      </c>
      <c r="V11" s="7">
        <v>45742</v>
      </c>
      <c r="W11" s="7">
        <v>45301</v>
      </c>
      <c r="X11" s="7">
        <v>46355</v>
      </c>
      <c r="Y11" s="8"/>
    </row>
    <row r="12" spans="1:25" ht="18" customHeight="1" x14ac:dyDescent="0.3">
      <c r="A12" s="3" t="s">
        <v>24</v>
      </c>
      <c r="B12" s="3" t="s">
        <v>49</v>
      </c>
      <c r="C12" s="3" t="s">
        <v>47</v>
      </c>
      <c r="D12" s="3" t="s">
        <v>31</v>
      </c>
      <c r="E12" s="3" t="s">
        <v>50</v>
      </c>
      <c r="F12" s="4">
        <v>42200</v>
      </c>
      <c r="G12" s="9">
        <v>49675</v>
      </c>
      <c r="H12" s="9">
        <v>49585</v>
      </c>
      <c r="I12" s="9">
        <v>49307</v>
      </c>
      <c r="J12" s="9">
        <v>49464</v>
      </c>
      <c r="K12" s="9">
        <v>49222</v>
      </c>
      <c r="L12" s="9">
        <v>49461</v>
      </c>
      <c r="M12" s="9">
        <v>48960</v>
      </c>
      <c r="N12" s="9">
        <v>48279</v>
      </c>
      <c r="O12" s="9">
        <v>47486</v>
      </c>
      <c r="P12" s="9">
        <v>47453</v>
      </c>
      <c r="Q12" s="9">
        <v>46966</v>
      </c>
      <c r="R12" s="9">
        <v>47268</v>
      </c>
      <c r="S12" s="10">
        <v>-4.8455000000000004</v>
      </c>
      <c r="T12" s="9">
        <v>-2407</v>
      </c>
      <c r="U12" s="7">
        <v>46865</v>
      </c>
      <c r="V12" s="7">
        <v>45742</v>
      </c>
      <c r="W12" s="7">
        <v>45301</v>
      </c>
      <c r="X12" s="7">
        <v>46355</v>
      </c>
      <c r="Y12" s="8"/>
    </row>
    <row r="13" spans="1:25" ht="18" customHeight="1" x14ac:dyDescent="0.3">
      <c r="A13" s="3" t="s">
        <v>24</v>
      </c>
      <c r="B13" s="3" t="s">
        <v>51</v>
      </c>
      <c r="C13" s="3" t="s">
        <v>39</v>
      </c>
      <c r="D13" s="3" t="s">
        <v>31</v>
      </c>
      <c r="E13" s="3" t="s">
        <v>52</v>
      </c>
      <c r="F13" s="4">
        <v>41250</v>
      </c>
      <c r="G13" s="5">
        <v>49675</v>
      </c>
      <c r="H13" s="5">
        <v>49585</v>
      </c>
      <c r="I13" s="5">
        <v>49307</v>
      </c>
      <c r="J13" s="5">
        <v>49464</v>
      </c>
      <c r="K13" s="5">
        <v>49222</v>
      </c>
      <c r="L13" s="5">
        <v>49461</v>
      </c>
      <c r="M13" s="5">
        <v>48960</v>
      </c>
      <c r="N13" s="5">
        <v>48279</v>
      </c>
      <c r="O13" s="5">
        <v>47486</v>
      </c>
      <c r="P13" s="5">
        <v>47453</v>
      </c>
      <c r="Q13" s="5">
        <v>46966</v>
      </c>
      <c r="R13" s="5">
        <v>47268</v>
      </c>
      <c r="S13" s="6">
        <v>-4.8455000000000004</v>
      </c>
      <c r="T13" s="5">
        <v>-2407</v>
      </c>
      <c r="U13" s="7">
        <v>46865</v>
      </c>
      <c r="V13" s="7">
        <v>45742</v>
      </c>
      <c r="W13" s="7">
        <v>45301</v>
      </c>
      <c r="X13" s="7">
        <v>46355</v>
      </c>
      <c r="Y13" s="8"/>
    </row>
    <row r="14" spans="1:25" ht="18" customHeight="1" x14ac:dyDescent="0.3">
      <c r="A14" s="3" t="s">
        <v>24</v>
      </c>
      <c r="B14" s="3" t="s">
        <v>53</v>
      </c>
      <c r="C14" s="3" t="s">
        <v>39</v>
      </c>
      <c r="D14" s="3" t="s">
        <v>31</v>
      </c>
      <c r="E14" s="3" t="s">
        <v>54</v>
      </c>
      <c r="F14" s="4">
        <v>41250</v>
      </c>
      <c r="G14" s="9">
        <v>49675</v>
      </c>
      <c r="H14" s="9">
        <v>49585</v>
      </c>
      <c r="I14" s="9">
        <v>49307</v>
      </c>
      <c r="J14" s="9">
        <v>49464</v>
      </c>
      <c r="K14" s="9">
        <v>49222</v>
      </c>
      <c r="L14" s="9">
        <v>49461</v>
      </c>
      <c r="M14" s="9">
        <v>48960</v>
      </c>
      <c r="N14" s="9">
        <v>48279</v>
      </c>
      <c r="O14" s="9">
        <v>47486</v>
      </c>
      <c r="P14" s="9">
        <v>47453</v>
      </c>
      <c r="Q14" s="9">
        <v>46966</v>
      </c>
      <c r="R14" s="9">
        <v>47268</v>
      </c>
      <c r="S14" s="10">
        <v>-4.8455000000000004</v>
      </c>
      <c r="T14" s="9">
        <v>-2407</v>
      </c>
      <c r="U14" s="7">
        <v>46865</v>
      </c>
      <c r="V14" s="7">
        <v>45742</v>
      </c>
      <c r="W14" s="7">
        <v>45301</v>
      </c>
      <c r="X14" s="7">
        <v>46355</v>
      </c>
      <c r="Y14" s="8"/>
    </row>
    <row r="15" spans="1:25" ht="18" customHeight="1" x14ac:dyDescent="0.3">
      <c r="A15" s="3" t="s">
        <v>55</v>
      </c>
      <c r="B15" s="3" t="s">
        <v>56</v>
      </c>
      <c r="C15" s="3" t="s">
        <v>44</v>
      </c>
      <c r="D15" s="3" t="s">
        <v>57</v>
      </c>
      <c r="E15" s="3" t="s">
        <v>58</v>
      </c>
      <c r="F15" s="4">
        <v>39000</v>
      </c>
      <c r="G15" s="5">
        <v>50395</v>
      </c>
      <c r="H15" s="5">
        <v>50242</v>
      </c>
      <c r="I15" s="5">
        <v>49987</v>
      </c>
      <c r="J15" s="5">
        <v>50802</v>
      </c>
      <c r="K15" s="5">
        <v>49826</v>
      </c>
      <c r="L15" s="5">
        <v>49772</v>
      </c>
      <c r="M15" s="5">
        <v>49429</v>
      </c>
      <c r="N15" s="5">
        <v>48791</v>
      </c>
      <c r="O15" s="5">
        <v>48874</v>
      </c>
      <c r="P15" s="5">
        <v>47918</v>
      </c>
      <c r="Q15" s="5">
        <v>47652</v>
      </c>
      <c r="R15" s="5">
        <v>47564</v>
      </c>
      <c r="S15" s="6">
        <v>-5.6176000000000004</v>
      </c>
      <c r="T15" s="5">
        <v>-2831</v>
      </c>
      <c r="U15" s="7">
        <v>48336</v>
      </c>
      <c r="V15" s="7">
        <v>47330</v>
      </c>
      <c r="W15" s="7">
        <v>46461</v>
      </c>
      <c r="X15" s="7">
        <v>48086</v>
      </c>
      <c r="Y15" s="8"/>
    </row>
    <row r="16" spans="1:25" ht="18" customHeight="1" x14ac:dyDescent="0.3">
      <c r="A16" s="3" t="s">
        <v>55</v>
      </c>
      <c r="B16" s="3" t="s">
        <v>59</v>
      </c>
      <c r="C16" s="3" t="s">
        <v>30</v>
      </c>
      <c r="D16" s="3" t="s">
        <v>57</v>
      </c>
      <c r="E16" s="3" t="s">
        <v>60</v>
      </c>
      <c r="F16" s="4">
        <v>40000</v>
      </c>
      <c r="G16" s="9">
        <v>51655</v>
      </c>
      <c r="H16" s="9">
        <v>51499</v>
      </c>
      <c r="I16" s="9">
        <v>51237</v>
      </c>
      <c r="J16" s="9">
        <v>52073</v>
      </c>
      <c r="K16" s="9">
        <v>51072</v>
      </c>
      <c r="L16" s="9">
        <v>51017</v>
      </c>
      <c r="M16" s="9">
        <v>50665</v>
      </c>
      <c r="N16" s="9">
        <v>50011</v>
      </c>
      <c r="O16" s="9">
        <v>50096</v>
      </c>
      <c r="P16" s="9">
        <v>49116</v>
      </c>
      <c r="Q16" s="9">
        <v>48844</v>
      </c>
      <c r="R16" s="9">
        <v>48754</v>
      </c>
      <c r="S16" s="10">
        <v>-5.6161000000000003</v>
      </c>
      <c r="T16" s="9">
        <v>-2901</v>
      </c>
      <c r="U16" s="7">
        <v>49545</v>
      </c>
      <c r="V16" s="7">
        <v>48514</v>
      </c>
      <c r="W16" s="7">
        <v>47623</v>
      </c>
      <c r="X16" s="7">
        <v>49289</v>
      </c>
      <c r="Y16" s="8"/>
    </row>
    <row r="17" spans="1:25" ht="18" customHeight="1" x14ac:dyDescent="0.3">
      <c r="A17" s="3" t="s">
        <v>55</v>
      </c>
      <c r="B17" s="3" t="s">
        <v>61</v>
      </c>
      <c r="C17" s="3" t="s">
        <v>62</v>
      </c>
      <c r="D17" s="3" t="s">
        <v>57</v>
      </c>
      <c r="E17" s="3" t="s">
        <v>60</v>
      </c>
      <c r="F17" s="4">
        <v>39500</v>
      </c>
      <c r="G17" s="5">
        <v>50395</v>
      </c>
      <c r="H17" s="5">
        <v>50242</v>
      </c>
      <c r="I17" s="5">
        <v>49987</v>
      </c>
      <c r="J17" s="5">
        <v>50802</v>
      </c>
      <c r="K17" s="5">
        <v>49826</v>
      </c>
      <c r="L17" s="5">
        <v>49772</v>
      </c>
      <c r="M17" s="5">
        <v>49429</v>
      </c>
      <c r="N17" s="5">
        <v>48791</v>
      </c>
      <c r="O17" s="5">
        <v>48874</v>
      </c>
      <c r="P17" s="5">
        <v>47918</v>
      </c>
      <c r="Q17" s="5">
        <v>47652</v>
      </c>
      <c r="R17" s="5">
        <v>47564</v>
      </c>
      <c r="S17" s="6">
        <v>-5.6176000000000004</v>
      </c>
      <c r="T17" s="5">
        <v>-2831</v>
      </c>
      <c r="U17" s="7">
        <v>48336</v>
      </c>
      <c r="V17" s="7">
        <v>47330</v>
      </c>
      <c r="W17" s="7">
        <v>46461</v>
      </c>
      <c r="X17" s="7">
        <v>49289</v>
      </c>
      <c r="Y17" s="8"/>
    </row>
    <row r="18" spans="1:25" ht="18" customHeight="1" x14ac:dyDescent="0.3">
      <c r="A18" s="3" t="s">
        <v>55</v>
      </c>
      <c r="B18" s="3" t="s">
        <v>63</v>
      </c>
      <c r="C18" s="3" t="s">
        <v>62</v>
      </c>
      <c r="D18" s="3" t="s">
        <v>57</v>
      </c>
      <c r="E18" s="3" t="s">
        <v>64</v>
      </c>
      <c r="F18" s="4">
        <v>39500</v>
      </c>
      <c r="G18" s="9">
        <v>50395</v>
      </c>
      <c r="H18" s="9">
        <v>50242</v>
      </c>
      <c r="I18" s="9">
        <v>49987</v>
      </c>
      <c r="J18" s="9">
        <v>50802</v>
      </c>
      <c r="K18" s="9">
        <v>49826</v>
      </c>
      <c r="L18" s="9">
        <v>49772</v>
      </c>
      <c r="M18" s="9">
        <v>49429</v>
      </c>
      <c r="N18" s="9">
        <v>48791</v>
      </c>
      <c r="O18" s="9">
        <v>48874</v>
      </c>
      <c r="P18" s="9">
        <v>47918</v>
      </c>
      <c r="Q18" s="9">
        <v>47652</v>
      </c>
      <c r="R18" s="9">
        <v>47564</v>
      </c>
      <c r="S18" s="10">
        <v>-5.6176000000000004</v>
      </c>
      <c r="T18" s="9">
        <v>-2831</v>
      </c>
      <c r="U18" s="7">
        <v>48336</v>
      </c>
      <c r="V18" s="7">
        <v>47330</v>
      </c>
      <c r="W18" s="7">
        <v>46461</v>
      </c>
      <c r="X18" s="7">
        <v>49289</v>
      </c>
      <c r="Y18" s="8"/>
    </row>
    <row r="19" spans="1:25" ht="18" customHeight="1" x14ac:dyDescent="0.3">
      <c r="A19" s="3" t="s">
        <v>55</v>
      </c>
      <c r="B19" s="3" t="s">
        <v>65</v>
      </c>
      <c r="C19" s="3" t="s">
        <v>30</v>
      </c>
      <c r="D19" s="3" t="s">
        <v>57</v>
      </c>
      <c r="E19" s="3" t="s">
        <v>64</v>
      </c>
      <c r="F19" s="4">
        <v>41500</v>
      </c>
      <c r="G19" s="5">
        <v>51655</v>
      </c>
      <c r="H19" s="5">
        <v>51499</v>
      </c>
      <c r="I19" s="5">
        <v>51237</v>
      </c>
      <c r="J19" s="5">
        <v>52073</v>
      </c>
      <c r="K19" s="5">
        <v>51072</v>
      </c>
      <c r="L19" s="5">
        <v>51017</v>
      </c>
      <c r="M19" s="5">
        <v>50665</v>
      </c>
      <c r="N19" s="5">
        <v>50011</v>
      </c>
      <c r="O19" s="5">
        <v>50096</v>
      </c>
      <c r="P19" s="5">
        <v>49116</v>
      </c>
      <c r="Q19" s="5">
        <v>48844</v>
      </c>
      <c r="R19" s="5">
        <v>48754</v>
      </c>
      <c r="S19" s="6">
        <v>-5.6161000000000003</v>
      </c>
      <c r="T19" s="5">
        <v>-2901</v>
      </c>
      <c r="U19" s="7">
        <v>49545</v>
      </c>
      <c r="V19" s="7">
        <v>48514</v>
      </c>
      <c r="W19" s="7">
        <v>47623</v>
      </c>
      <c r="X19" s="7">
        <v>49289</v>
      </c>
      <c r="Y19" s="8"/>
    </row>
    <row r="20" spans="1:25" ht="18" customHeight="1" x14ac:dyDescent="0.3">
      <c r="A20" s="3" t="s">
        <v>24</v>
      </c>
      <c r="B20" s="3" t="s">
        <v>66</v>
      </c>
      <c r="C20" s="3" t="s">
        <v>44</v>
      </c>
      <c r="D20" s="3" t="s">
        <v>31</v>
      </c>
      <c r="E20" s="3" t="s">
        <v>67</v>
      </c>
      <c r="F20" s="4">
        <v>39000</v>
      </c>
      <c r="G20" s="9">
        <v>44013</v>
      </c>
      <c r="H20" s="9">
        <v>43926</v>
      </c>
      <c r="I20" s="9">
        <v>44125</v>
      </c>
      <c r="J20" s="9">
        <v>42880</v>
      </c>
      <c r="K20" s="9">
        <v>43489</v>
      </c>
      <c r="L20" s="9">
        <v>43351</v>
      </c>
      <c r="M20" s="9">
        <v>42639</v>
      </c>
      <c r="N20" s="9">
        <v>43178</v>
      </c>
      <c r="O20" s="9">
        <v>42911</v>
      </c>
      <c r="P20" s="9">
        <v>41679</v>
      </c>
      <c r="Q20" s="9">
        <v>41335</v>
      </c>
      <c r="R20" s="9">
        <v>41322</v>
      </c>
      <c r="S20" s="10">
        <v>-6.1140999999999996</v>
      </c>
      <c r="T20" s="9">
        <v>-2691</v>
      </c>
      <c r="U20" s="7">
        <v>41131</v>
      </c>
      <c r="V20" s="7">
        <v>40087</v>
      </c>
      <c r="W20" s="7">
        <v>40192</v>
      </c>
      <c r="X20" s="7">
        <v>41546</v>
      </c>
      <c r="Y20" s="8"/>
    </row>
    <row r="21" spans="1:25" ht="18" customHeight="1" x14ac:dyDescent="0.3">
      <c r="A21" s="3" t="s">
        <v>24</v>
      </c>
      <c r="B21" s="3" t="s">
        <v>68</v>
      </c>
      <c r="C21" s="3" t="s">
        <v>30</v>
      </c>
      <c r="D21" s="3" t="s">
        <v>69</v>
      </c>
      <c r="E21" s="3" t="s">
        <v>67</v>
      </c>
      <c r="F21" s="4">
        <v>41500</v>
      </c>
      <c r="G21" s="5">
        <v>51109</v>
      </c>
      <c r="H21" s="5">
        <v>51082</v>
      </c>
      <c r="I21" s="5">
        <v>50185</v>
      </c>
      <c r="J21" s="5">
        <v>50993</v>
      </c>
      <c r="K21" s="5">
        <v>50965</v>
      </c>
      <c r="L21" s="5">
        <v>51702</v>
      </c>
      <c r="M21" s="5">
        <v>50852</v>
      </c>
      <c r="N21" s="5">
        <v>50542</v>
      </c>
      <c r="O21" s="5">
        <v>50166</v>
      </c>
      <c r="P21" s="5">
        <v>49998</v>
      </c>
      <c r="Q21" s="5">
        <v>49742</v>
      </c>
      <c r="R21" s="5">
        <v>49673</v>
      </c>
      <c r="S21" s="6">
        <v>-2.8096999999999999</v>
      </c>
      <c r="T21" s="5">
        <v>-1436</v>
      </c>
      <c r="U21" s="7">
        <v>49315</v>
      </c>
      <c r="V21" s="7">
        <v>47959</v>
      </c>
      <c r="W21" s="7">
        <v>46781</v>
      </c>
      <c r="X21" s="7">
        <v>48418</v>
      </c>
      <c r="Y21" s="8"/>
    </row>
    <row r="22" spans="1:25" ht="18" customHeight="1" x14ac:dyDescent="0.3">
      <c r="A22" s="3" t="s">
        <v>70</v>
      </c>
      <c r="B22" s="3" t="s">
        <v>71</v>
      </c>
      <c r="C22" s="3" t="s">
        <v>47</v>
      </c>
      <c r="D22" s="3" t="s">
        <v>72</v>
      </c>
      <c r="E22" s="3" t="s">
        <v>73</v>
      </c>
      <c r="F22" s="4">
        <v>33650</v>
      </c>
      <c r="G22" s="9">
        <v>48294</v>
      </c>
      <c r="H22" s="9">
        <v>48480</v>
      </c>
      <c r="I22" s="9">
        <v>48016</v>
      </c>
      <c r="J22" s="9">
        <v>47614</v>
      </c>
      <c r="K22" s="9">
        <v>47288</v>
      </c>
      <c r="L22" s="9">
        <v>47259</v>
      </c>
      <c r="M22" s="9">
        <v>47176</v>
      </c>
      <c r="N22" s="9">
        <v>46734</v>
      </c>
      <c r="O22" s="9">
        <v>46066</v>
      </c>
      <c r="P22" s="9">
        <v>45489</v>
      </c>
      <c r="Q22" s="9">
        <v>45214</v>
      </c>
      <c r="R22" s="9">
        <v>44590</v>
      </c>
      <c r="S22" s="10">
        <v>-7.6696999999999997</v>
      </c>
      <c r="T22" s="9">
        <v>-3704</v>
      </c>
      <c r="U22" s="7">
        <v>43043</v>
      </c>
      <c r="V22" s="7">
        <v>43542</v>
      </c>
      <c r="W22" s="7">
        <v>42848</v>
      </c>
      <c r="X22" s="7">
        <v>44347</v>
      </c>
      <c r="Y22" s="8"/>
    </row>
    <row r="23" spans="1:25" ht="18" customHeight="1" x14ac:dyDescent="0.3">
      <c r="A23" s="3" t="s">
        <v>55</v>
      </c>
      <c r="B23" s="3" t="s">
        <v>74</v>
      </c>
      <c r="C23" s="3" t="s">
        <v>75</v>
      </c>
      <c r="D23" s="3" t="s">
        <v>76</v>
      </c>
      <c r="E23" s="3" t="s">
        <v>77</v>
      </c>
      <c r="F23" s="4">
        <v>45500</v>
      </c>
      <c r="G23" s="5">
        <v>56096</v>
      </c>
      <c r="H23" s="5">
        <v>56044</v>
      </c>
      <c r="I23" s="5">
        <v>56326</v>
      </c>
      <c r="J23" s="5">
        <v>56994</v>
      </c>
      <c r="K23" s="5">
        <v>56382</v>
      </c>
      <c r="L23" s="5">
        <v>56302</v>
      </c>
      <c r="M23" s="5">
        <v>56212</v>
      </c>
      <c r="N23" s="5">
        <v>56258</v>
      </c>
      <c r="O23" s="5">
        <v>55820</v>
      </c>
      <c r="P23" s="5">
        <v>54701</v>
      </c>
      <c r="Q23" s="5">
        <v>55433</v>
      </c>
      <c r="R23" s="5">
        <v>54724</v>
      </c>
      <c r="S23" s="6">
        <v>-2.4458000000000002</v>
      </c>
      <c r="T23" s="5">
        <v>-1372</v>
      </c>
      <c r="U23" s="7">
        <v>56383</v>
      </c>
      <c r="V23" s="7">
        <v>54721</v>
      </c>
      <c r="W23" s="7">
        <v>54301</v>
      </c>
      <c r="X23" s="7">
        <v>56201</v>
      </c>
      <c r="Y23" s="8"/>
    </row>
    <row r="24" spans="1:25" ht="18" customHeight="1" x14ac:dyDescent="0.3">
      <c r="A24" s="3" t="s">
        <v>24</v>
      </c>
      <c r="B24" s="3" t="s">
        <v>78</v>
      </c>
      <c r="C24" s="3" t="s">
        <v>79</v>
      </c>
      <c r="D24" s="3" t="s">
        <v>31</v>
      </c>
      <c r="E24" s="3" t="s">
        <v>80</v>
      </c>
      <c r="F24" s="4">
        <v>46800</v>
      </c>
      <c r="G24" s="9">
        <v>55344</v>
      </c>
      <c r="H24" s="9">
        <v>55430</v>
      </c>
      <c r="I24" s="9">
        <v>55654</v>
      </c>
      <c r="J24" s="9">
        <v>55933</v>
      </c>
      <c r="K24" s="9">
        <v>55602</v>
      </c>
      <c r="L24" s="9">
        <v>55587</v>
      </c>
      <c r="M24" s="9">
        <v>55689</v>
      </c>
      <c r="N24" s="9">
        <v>55618</v>
      </c>
      <c r="O24" s="9">
        <v>55602</v>
      </c>
      <c r="P24" s="9">
        <v>55373</v>
      </c>
      <c r="Q24" s="9">
        <v>55542</v>
      </c>
      <c r="R24" s="9">
        <v>55407</v>
      </c>
      <c r="S24" s="10">
        <v>0.1138</v>
      </c>
      <c r="T24" s="9">
        <v>63</v>
      </c>
      <c r="U24" s="7">
        <v>55537</v>
      </c>
      <c r="V24" s="7">
        <v>55012</v>
      </c>
      <c r="W24" s="7">
        <v>54743</v>
      </c>
      <c r="X24" s="7">
        <v>54819</v>
      </c>
      <c r="Y24" s="8"/>
    </row>
    <row r="25" spans="1:25" ht="18" customHeight="1" x14ac:dyDescent="0.3">
      <c r="A25" s="3" t="s">
        <v>24</v>
      </c>
      <c r="B25" s="3" t="s">
        <v>81</v>
      </c>
      <c r="C25" s="3" t="s">
        <v>47</v>
      </c>
      <c r="D25" s="3" t="s">
        <v>31</v>
      </c>
      <c r="E25" s="3" t="s">
        <v>82</v>
      </c>
      <c r="F25" s="4">
        <v>42200</v>
      </c>
      <c r="G25" s="5">
        <v>49675</v>
      </c>
      <c r="H25" s="5">
        <v>49585</v>
      </c>
      <c r="I25" s="5">
        <v>49307</v>
      </c>
      <c r="J25" s="5">
        <v>49464</v>
      </c>
      <c r="K25" s="5">
        <v>49222</v>
      </c>
      <c r="L25" s="5">
        <v>49461</v>
      </c>
      <c r="M25" s="5">
        <v>48960</v>
      </c>
      <c r="N25" s="5">
        <v>48279</v>
      </c>
      <c r="O25" s="5">
        <v>47486</v>
      </c>
      <c r="P25" s="5">
        <v>47453</v>
      </c>
      <c r="Q25" s="5">
        <v>46966</v>
      </c>
      <c r="R25" s="5">
        <v>47268</v>
      </c>
      <c r="S25" s="6">
        <v>-4.8455000000000004</v>
      </c>
      <c r="T25" s="5">
        <v>-2407</v>
      </c>
      <c r="U25" s="7">
        <v>46865</v>
      </c>
      <c r="V25" s="7">
        <v>45742</v>
      </c>
      <c r="W25" s="7">
        <v>45301</v>
      </c>
      <c r="X25" s="7">
        <v>46355</v>
      </c>
      <c r="Y25" s="8"/>
    </row>
    <row r="26" spans="1:25" ht="18" customHeight="1" x14ac:dyDescent="0.3">
      <c r="A26" s="3" t="s">
        <v>55</v>
      </c>
      <c r="B26" s="3" t="s">
        <v>83</v>
      </c>
      <c r="C26" s="3" t="s">
        <v>79</v>
      </c>
      <c r="D26" s="3" t="s">
        <v>76</v>
      </c>
      <c r="E26" s="3" t="s">
        <v>84</v>
      </c>
      <c r="F26" s="4">
        <v>49900</v>
      </c>
      <c r="G26" s="9">
        <v>58933</v>
      </c>
      <c r="H26" s="9">
        <v>59079</v>
      </c>
      <c r="I26" s="9">
        <v>59256</v>
      </c>
      <c r="J26" s="9">
        <v>59676</v>
      </c>
      <c r="K26" s="9">
        <v>59626</v>
      </c>
      <c r="L26" s="9">
        <v>59602</v>
      </c>
      <c r="M26" s="9">
        <v>59709</v>
      </c>
      <c r="N26" s="9">
        <v>60402</v>
      </c>
      <c r="O26" s="9">
        <v>60008</v>
      </c>
      <c r="P26" s="9">
        <v>59237</v>
      </c>
      <c r="Q26" s="9">
        <v>59144</v>
      </c>
      <c r="R26" s="9">
        <v>59265</v>
      </c>
      <c r="S26" s="10">
        <v>0.56340000000000001</v>
      </c>
      <c r="T26" s="9">
        <v>332</v>
      </c>
      <c r="U26" s="7">
        <v>60245</v>
      </c>
      <c r="V26" s="7">
        <v>60211</v>
      </c>
      <c r="W26" s="7">
        <v>60297</v>
      </c>
      <c r="X26" s="7">
        <v>60564</v>
      </c>
      <c r="Y26" s="8"/>
    </row>
    <row r="27" spans="1:25" ht="18" customHeight="1" x14ac:dyDescent="0.3">
      <c r="A27" s="3" t="s">
        <v>85</v>
      </c>
      <c r="B27" s="3" t="s">
        <v>86</v>
      </c>
      <c r="C27" s="3" t="s">
        <v>87</v>
      </c>
      <c r="D27" s="3" t="s">
        <v>88</v>
      </c>
      <c r="E27" s="3" t="s">
        <v>89</v>
      </c>
      <c r="F27" s="4">
        <v>18629</v>
      </c>
      <c r="G27" s="5">
        <v>15791</v>
      </c>
      <c r="H27" s="5">
        <v>16066</v>
      </c>
      <c r="I27" s="5">
        <v>16628</v>
      </c>
      <c r="J27" s="5">
        <v>16685</v>
      </c>
      <c r="K27" s="5">
        <v>16846</v>
      </c>
      <c r="L27" s="5">
        <v>16942</v>
      </c>
      <c r="M27" s="5">
        <v>16819</v>
      </c>
      <c r="N27" s="5">
        <v>16826</v>
      </c>
      <c r="O27" s="5">
        <v>16595</v>
      </c>
      <c r="P27" s="5">
        <v>16308</v>
      </c>
      <c r="Q27" s="5">
        <v>16587</v>
      </c>
      <c r="R27" s="5">
        <v>16619</v>
      </c>
      <c r="S27" s="6">
        <v>5.2435</v>
      </c>
      <c r="T27" s="5">
        <v>828</v>
      </c>
      <c r="U27" s="7">
        <v>16778</v>
      </c>
      <c r="V27" s="7">
        <v>16343</v>
      </c>
      <c r="W27" s="7">
        <v>16445</v>
      </c>
      <c r="X27" s="7">
        <v>16365</v>
      </c>
      <c r="Y27" s="8"/>
    </row>
    <row r="28" spans="1:25" ht="18" customHeight="1" x14ac:dyDescent="0.3">
      <c r="A28" s="3" t="s">
        <v>85</v>
      </c>
      <c r="B28" s="3" t="s">
        <v>90</v>
      </c>
      <c r="C28" s="3" t="s">
        <v>87</v>
      </c>
      <c r="D28" s="3" t="s">
        <v>88</v>
      </c>
      <c r="E28" s="3" t="s">
        <v>89</v>
      </c>
      <c r="F28" s="4">
        <v>18629</v>
      </c>
      <c r="G28" s="9">
        <v>15791</v>
      </c>
      <c r="H28" s="9">
        <v>16066</v>
      </c>
      <c r="I28" s="9">
        <v>16628</v>
      </c>
      <c r="J28" s="9">
        <v>16685</v>
      </c>
      <c r="K28" s="9">
        <v>16846</v>
      </c>
      <c r="L28" s="9">
        <v>16942</v>
      </c>
      <c r="M28" s="9">
        <v>16819</v>
      </c>
      <c r="N28" s="9">
        <v>16826</v>
      </c>
      <c r="O28" s="9">
        <v>16595</v>
      </c>
      <c r="P28" s="9">
        <v>16308</v>
      </c>
      <c r="Q28" s="9">
        <v>16587</v>
      </c>
      <c r="R28" s="9">
        <v>16619</v>
      </c>
      <c r="S28" s="10">
        <v>5.2435</v>
      </c>
      <c r="T28" s="9">
        <v>828</v>
      </c>
      <c r="U28" s="7">
        <v>16778</v>
      </c>
      <c r="V28" s="7">
        <v>16343</v>
      </c>
      <c r="W28" s="7">
        <v>16445</v>
      </c>
      <c r="X28" s="7">
        <v>16365</v>
      </c>
      <c r="Y28" s="8"/>
    </row>
    <row r="29" spans="1:25" ht="18" customHeight="1" x14ac:dyDescent="0.3">
      <c r="A29" s="3" t="s">
        <v>91</v>
      </c>
      <c r="B29" s="3" t="s">
        <v>92</v>
      </c>
      <c r="C29" s="3" t="s">
        <v>87</v>
      </c>
      <c r="D29" s="3" t="s">
        <v>93</v>
      </c>
      <c r="E29" s="3" t="s">
        <v>94</v>
      </c>
      <c r="F29" s="4">
        <v>7899</v>
      </c>
      <c r="G29" s="5">
        <v>20349</v>
      </c>
      <c r="H29" s="5">
        <v>20652</v>
      </c>
      <c r="I29" s="5">
        <v>20530</v>
      </c>
      <c r="J29" s="5">
        <v>21248</v>
      </c>
      <c r="K29" s="5">
        <v>21678</v>
      </c>
      <c r="L29" s="5">
        <v>20984</v>
      </c>
      <c r="M29" s="5">
        <v>21230</v>
      </c>
      <c r="N29" s="5">
        <v>21338</v>
      </c>
      <c r="O29" s="5">
        <v>21253</v>
      </c>
      <c r="P29" s="5">
        <v>21259</v>
      </c>
      <c r="Q29" s="5">
        <v>21845</v>
      </c>
      <c r="R29" s="5">
        <v>21749</v>
      </c>
      <c r="S29" s="6">
        <v>6.8799000000000001</v>
      </c>
      <c r="T29" s="5">
        <v>1400</v>
      </c>
      <c r="U29" s="7">
        <v>21894</v>
      </c>
      <c r="V29" s="7">
        <v>21562</v>
      </c>
      <c r="W29" s="7">
        <v>21413</v>
      </c>
      <c r="X29" s="7">
        <v>21386</v>
      </c>
      <c r="Y29" s="8"/>
    </row>
    <row r="30" spans="1:25" ht="18" customHeight="1" x14ac:dyDescent="0.3">
      <c r="A30" s="3" t="s">
        <v>55</v>
      </c>
      <c r="B30" s="3" t="s">
        <v>95</v>
      </c>
      <c r="C30" s="3" t="s">
        <v>79</v>
      </c>
      <c r="D30" s="3" t="s">
        <v>76</v>
      </c>
      <c r="E30" s="3" t="s">
        <v>96</v>
      </c>
      <c r="F30" s="4">
        <v>50900</v>
      </c>
      <c r="G30" s="9">
        <v>58933</v>
      </c>
      <c r="H30" s="9">
        <v>59079</v>
      </c>
      <c r="I30" s="9">
        <v>59256</v>
      </c>
      <c r="J30" s="9">
        <v>59676</v>
      </c>
      <c r="K30" s="9">
        <v>59626</v>
      </c>
      <c r="L30" s="9">
        <v>59602</v>
      </c>
      <c r="M30" s="9">
        <v>59709</v>
      </c>
      <c r="N30" s="9">
        <v>60402</v>
      </c>
      <c r="O30" s="9">
        <v>60008</v>
      </c>
      <c r="P30" s="9">
        <v>59237</v>
      </c>
      <c r="Q30" s="9">
        <v>59144</v>
      </c>
      <c r="R30" s="9">
        <v>59265</v>
      </c>
      <c r="S30" s="10">
        <v>0.56340000000000001</v>
      </c>
      <c r="T30" s="9">
        <v>332</v>
      </c>
      <c r="U30" s="7">
        <v>60245</v>
      </c>
      <c r="V30" s="7">
        <v>60211</v>
      </c>
      <c r="W30" s="7">
        <v>60297</v>
      </c>
      <c r="X30" s="7">
        <v>60564</v>
      </c>
      <c r="Y30" s="8"/>
    </row>
    <row r="31" spans="1:25" ht="18" customHeight="1" x14ac:dyDescent="0.3">
      <c r="A31" s="3" t="s">
        <v>55</v>
      </c>
      <c r="B31" s="3" t="s">
        <v>97</v>
      </c>
      <c r="C31" s="3" t="s">
        <v>79</v>
      </c>
      <c r="D31" s="3" t="s">
        <v>76</v>
      </c>
      <c r="E31" s="3" t="s">
        <v>98</v>
      </c>
      <c r="F31" s="4">
        <v>46450</v>
      </c>
      <c r="G31" s="5">
        <v>58933</v>
      </c>
      <c r="H31" s="5">
        <v>59079</v>
      </c>
      <c r="I31" s="5">
        <v>59256</v>
      </c>
      <c r="J31" s="5">
        <v>59676</v>
      </c>
      <c r="K31" s="5">
        <v>59626</v>
      </c>
      <c r="L31" s="5">
        <v>59602</v>
      </c>
      <c r="M31" s="5">
        <v>59709</v>
      </c>
      <c r="N31" s="5">
        <v>60402</v>
      </c>
      <c r="O31" s="5">
        <v>60008</v>
      </c>
      <c r="P31" s="5">
        <v>59237</v>
      </c>
      <c r="Q31" s="5">
        <v>59144</v>
      </c>
      <c r="R31" s="5">
        <v>59265</v>
      </c>
      <c r="S31" s="6">
        <v>0.56340000000000001</v>
      </c>
      <c r="T31" s="5">
        <v>332</v>
      </c>
      <c r="U31" s="7">
        <v>60245</v>
      </c>
      <c r="V31" s="7">
        <v>60211</v>
      </c>
      <c r="W31" s="7">
        <v>60297</v>
      </c>
      <c r="X31" s="7">
        <v>60564</v>
      </c>
      <c r="Y31" s="8"/>
    </row>
    <row r="32" spans="1:25" ht="18" customHeight="1" x14ac:dyDescent="0.3">
      <c r="A32" s="3" t="s">
        <v>55</v>
      </c>
      <c r="B32" s="3" t="s">
        <v>99</v>
      </c>
      <c r="C32" s="3" t="s">
        <v>79</v>
      </c>
      <c r="D32" s="3" t="s">
        <v>76</v>
      </c>
      <c r="E32" s="3" t="s">
        <v>100</v>
      </c>
      <c r="F32" s="4">
        <v>46500</v>
      </c>
      <c r="G32" s="9">
        <v>58933</v>
      </c>
      <c r="H32" s="9">
        <v>59079</v>
      </c>
      <c r="I32" s="9">
        <v>59256</v>
      </c>
      <c r="J32" s="9">
        <v>59676</v>
      </c>
      <c r="K32" s="9">
        <v>59626</v>
      </c>
      <c r="L32" s="9">
        <v>59602</v>
      </c>
      <c r="M32" s="9">
        <v>59709</v>
      </c>
      <c r="N32" s="9">
        <v>60402</v>
      </c>
      <c r="O32" s="9">
        <v>60008</v>
      </c>
      <c r="P32" s="9">
        <v>59237</v>
      </c>
      <c r="Q32" s="9">
        <v>59144</v>
      </c>
      <c r="R32" s="9">
        <v>59265</v>
      </c>
      <c r="S32" s="10">
        <v>0.56340000000000001</v>
      </c>
      <c r="T32" s="9">
        <v>332</v>
      </c>
      <c r="U32" s="7">
        <v>60245</v>
      </c>
      <c r="V32" s="7">
        <v>60211</v>
      </c>
      <c r="W32" s="7">
        <v>60297</v>
      </c>
      <c r="X32" s="7">
        <v>60564</v>
      </c>
      <c r="Y32" s="8"/>
    </row>
    <row r="33" spans="1:25" ht="18" customHeight="1" x14ac:dyDescent="0.3">
      <c r="A33" s="3" t="s">
        <v>55</v>
      </c>
      <c r="B33" s="3" t="s">
        <v>101</v>
      </c>
      <c r="C33" s="3" t="s">
        <v>79</v>
      </c>
      <c r="D33" s="3" t="s">
        <v>76</v>
      </c>
      <c r="E33" s="3" t="s">
        <v>102</v>
      </c>
      <c r="F33" s="4">
        <v>49400</v>
      </c>
      <c r="G33" s="5">
        <v>58933</v>
      </c>
      <c r="H33" s="5">
        <v>59079</v>
      </c>
      <c r="I33" s="5">
        <v>59256</v>
      </c>
      <c r="J33" s="5">
        <v>59676</v>
      </c>
      <c r="K33" s="5">
        <v>59626</v>
      </c>
      <c r="L33" s="5">
        <v>59602</v>
      </c>
      <c r="M33" s="5">
        <v>59709</v>
      </c>
      <c r="N33" s="5">
        <v>60402</v>
      </c>
      <c r="O33" s="5">
        <v>60008</v>
      </c>
      <c r="P33" s="5">
        <v>59237</v>
      </c>
      <c r="Q33" s="5">
        <v>59144</v>
      </c>
      <c r="R33" s="5">
        <v>59265</v>
      </c>
      <c r="S33" s="6">
        <v>0.56340000000000001</v>
      </c>
      <c r="T33" s="5">
        <v>332</v>
      </c>
      <c r="U33" s="7">
        <v>60245</v>
      </c>
      <c r="V33" s="7">
        <v>60211</v>
      </c>
      <c r="W33" s="7">
        <v>60297</v>
      </c>
      <c r="X33" s="7">
        <v>60564</v>
      </c>
      <c r="Y33" s="8"/>
    </row>
    <row r="34" spans="1:25" ht="18" customHeight="1" x14ac:dyDescent="0.3">
      <c r="A34" s="3" t="s">
        <v>55</v>
      </c>
      <c r="B34" s="3" t="s">
        <v>103</v>
      </c>
      <c r="C34" s="3" t="s">
        <v>79</v>
      </c>
      <c r="D34" s="3" t="s">
        <v>76</v>
      </c>
      <c r="E34" s="3" t="s">
        <v>104</v>
      </c>
      <c r="F34" s="4">
        <v>49400</v>
      </c>
      <c r="G34" s="9"/>
      <c r="H34" s="9">
        <v>59079</v>
      </c>
      <c r="I34" s="9">
        <v>59256</v>
      </c>
      <c r="J34" s="9">
        <v>59676</v>
      </c>
      <c r="K34" s="9">
        <v>59626</v>
      </c>
      <c r="L34" s="9">
        <v>59602</v>
      </c>
      <c r="M34" s="9">
        <v>59709</v>
      </c>
      <c r="N34" s="9">
        <v>60402</v>
      </c>
      <c r="O34" s="9">
        <v>60008</v>
      </c>
      <c r="P34" s="9">
        <v>59237</v>
      </c>
      <c r="Q34" s="9">
        <v>59144</v>
      </c>
      <c r="R34" s="9">
        <v>59265</v>
      </c>
      <c r="S34" s="10">
        <v>0.31480000000000002</v>
      </c>
      <c r="T34" s="9">
        <v>186</v>
      </c>
      <c r="U34" s="7">
        <v>60245</v>
      </c>
      <c r="V34" s="7">
        <v>60211</v>
      </c>
      <c r="W34" s="7">
        <v>60297</v>
      </c>
      <c r="X34" s="7">
        <v>60564</v>
      </c>
      <c r="Y34" s="8"/>
    </row>
    <row r="35" spans="1:25" ht="18" customHeight="1" x14ac:dyDescent="0.3">
      <c r="A35" s="3" t="s">
        <v>55</v>
      </c>
      <c r="B35" s="3" t="s">
        <v>105</v>
      </c>
      <c r="C35" s="3" t="s">
        <v>79</v>
      </c>
      <c r="D35" s="3" t="s">
        <v>76</v>
      </c>
      <c r="E35" s="3" t="s">
        <v>106</v>
      </c>
      <c r="F35" s="4">
        <v>49450</v>
      </c>
      <c r="G35" s="5"/>
      <c r="H35" s="5">
        <v>59079</v>
      </c>
      <c r="I35" s="5">
        <v>59256</v>
      </c>
      <c r="J35" s="5">
        <v>59676</v>
      </c>
      <c r="K35" s="5">
        <v>59626</v>
      </c>
      <c r="L35" s="5">
        <v>59602</v>
      </c>
      <c r="M35" s="5">
        <v>59709</v>
      </c>
      <c r="N35" s="5">
        <v>60402</v>
      </c>
      <c r="O35" s="5">
        <v>60008</v>
      </c>
      <c r="P35" s="5">
        <v>59237</v>
      </c>
      <c r="Q35" s="5">
        <v>59144</v>
      </c>
      <c r="R35" s="5">
        <v>59265</v>
      </c>
      <c r="S35" s="6">
        <v>0.31480000000000002</v>
      </c>
      <c r="T35" s="5">
        <v>186</v>
      </c>
      <c r="U35" s="7">
        <v>60245</v>
      </c>
      <c r="V35" s="7">
        <v>60211</v>
      </c>
      <c r="W35" s="7">
        <v>60297</v>
      </c>
      <c r="X35" s="7">
        <v>60564</v>
      </c>
      <c r="Y35" s="8"/>
    </row>
    <row r="36" spans="1:25" ht="18" customHeight="1" x14ac:dyDescent="0.3">
      <c r="A36" s="3" t="s">
        <v>55</v>
      </c>
      <c r="B36" s="3" t="s">
        <v>107</v>
      </c>
      <c r="C36" s="3" t="s">
        <v>79</v>
      </c>
      <c r="D36" s="3" t="s">
        <v>76</v>
      </c>
      <c r="E36" s="3" t="s">
        <v>108</v>
      </c>
      <c r="F36" s="4">
        <v>51300</v>
      </c>
      <c r="G36" s="9"/>
      <c r="H36" s="9"/>
      <c r="I36" s="9">
        <v>59256</v>
      </c>
      <c r="J36" s="9">
        <v>59676</v>
      </c>
      <c r="K36" s="9">
        <v>59626</v>
      </c>
      <c r="L36" s="9">
        <v>59602</v>
      </c>
      <c r="M36" s="9">
        <v>59709</v>
      </c>
      <c r="N36" s="9">
        <v>60402</v>
      </c>
      <c r="O36" s="9">
        <v>60008</v>
      </c>
      <c r="P36" s="9">
        <v>59237</v>
      </c>
      <c r="Q36" s="9">
        <v>59144</v>
      </c>
      <c r="R36" s="9">
        <v>59265</v>
      </c>
      <c r="S36" s="10">
        <v>1.52E-2</v>
      </c>
      <c r="T36" s="9">
        <v>9</v>
      </c>
      <c r="U36" s="7">
        <v>60245</v>
      </c>
      <c r="V36" s="7">
        <v>60211</v>
      </c>
      <c r="W36" s="7">
        <v>60297</v>
      </c>
      <c r="X36" s="7">
        <v>60564</v>
      </c>
      <c r="Y36" s="8"/>
    </row>
    <row r="37" spans="1:25" ht="18" customHeight="1" x14ac:dyDescent="0.3">
      <c r="A37" s="3" t="s">
        <v>55</v>
      </c>
      <c r="B37" s="3" t="s">
        <v>109</v>
      </c>
      <c r="C37" s="3" t="s">
        <v>79</v>
      </c>
      <c r="D37" s="3" t="s">
        <v>76</v>
      </c>
      <c r="E37" s="3" t="s">
        <v>110</v>
      </c>
      <c r="F37" s="4">
        <v>53000</v>
      </c>
      <c r="G37" s="5"/>
      <c r="H37" s="5"/>
      <c r="I37" s="5">
        <v>59256</v>
      </c>
      <c r="J37" s="5">
        <v>59676</v>
      </c>
      <c r="K37" s="5">
        <v>59626</v>
      </c>
      <c r="L37" s="5">
        <v>59602</v>
      </c>
      <c r="M37" s="5">
        <v>59709</v>
      </c>
      <c r="N37" s="5">
        <v>60402</v>
      </c>
      <c r="O37" s="5">
        <v>60008</v>
      </c>
      <c r="P37" s="5">
        <v>59237</v>
      </c>
      <c r="Q37" s="5">
        <v>59144</v>
      </c>
      <c r="R37" s="5">
        <v>59265</v>
      </c>
      <c r="S37" s="6">
        <v>1.52E-2</v>
      </c>
      <c r="T37" s="5">
        <v>9</v>
      </c>
      <c r="U37" s="7">
        <v>60245</v>
      </c>
      <c r="V37" s="7">
        <v>60211</v>
      </c>
      <c r="W37" s="7">
        <v>60297</v>
      </c>
      <c r="X37" s="7">
        <v>60564</v>
      </c>
      <c r="Y37" s="8"/>
    </row>
    <row r="38" spans="1:25" ht="18" customHeight="1" x14ac:dyDescent="0.3">
      <c r="A38" s="3" t="s">
        <v>55</v>
      </c>
      <c r="B38" s="3" t="s">
        <v>111</v>
      </c>
      <c r="C38" s="3" t="s">
        <v>44</v>
      </c>
      <c r="D38" s="3" t="s">
        <v>112</v>
      </c>
      <c r="E38" s="3" t="s">
        <v>113</v>
      </c>
      <c r="F38" s="4">
        <v>32850</v>
      </c>
      <c r="G38" s="9"/>
      <c r="H38" s="9"/>
      <c r="I38" s="9"/>
      <c r="J38" s="9">
        <v>43895</v>
      </c>
      <c r="K38" s="9">
        <v>44727</v>
      </c>
      <c r="L38" s="9">
        <v>43893</v>
      </c>
      <c r="M38" s="9">
        <v>43645</v>
      </c>
      <c r="N38" s="9">
        <v>43763</v>
      </c>
      <c r="O38" s="9">
        <v>43244</v>
      </c>
      <c r="P38" s="9">
        <v>46236</v>
      </c>
      <c r="Q38" s="9">
        <v>44617</v>
      </c>
      <c r="R38" s="9">
        <v>44384</v>
      </c>
      <c r="S38" s="10">
        <v>1.1140000000000001</v>
      </c>
      <c r="T38" s="9">
        <v>489</v>
      </c>
      <c r="U38" s="7">
        <v>44162</v>
      </c>
      <c r="V38" s="7">
        <v>43720</v>
      </c>
      <c r="W38" s="7">
        <v>43854</v>
      </c>
      <c r="X38" s="7">
        <v>43933</v>
      </c>
      <c r="Y38" s="8"/>
    </row>
    <row r="39" spans="1:25" ht="18" customHeight="1" x14ac:dyDescent="0.3">
      <c r="A39" s="3" t="s">
        <v>55</v>
      </c>
      <c r="B39" s="3" t="s">
        <v>114</v>
      </c>
      <c r="C39" s="3" t="s">
        <v>75</v>
      </c>
      <c r="D39" s="3" t="s">
        <v>76</v>
      </c>
      <c r="E39" s="3" t="s">
        <v>115</v>
      </c>
      <c r="F39" s="4">
        <v>49600</v>
      </c>
      <c r="G39" s="5"/>
      <c r="H39" s="5"/>
      <c r="I39" s="5"/>
      <c r="J39" s="5"/>
      <c r="K39" s="5">
        <v>56382</v>
      </c>
      <c r="L39" s="5">
        <v>56302</v>
      </c>
      <c r="M39" s="5">
        <v>56212</v>
      </c>
      <c r="N39" s="5">
        <v>56258</v>
      </c>
      <c r="O39" s="5">
        <v>55820</v>
      </c>
      <c r="P39" s="5">
        <v>54701</v>
      </c>
      <c r="Q39" s="5">
        <v>55433</v>
      </c>
      <c r="R39" s="5">
        <v>54724</v>
      </c>
      <c r="S39" s="6">
        <v>-2.9407000000000001</v>
      </c>
      <c r="T39" s="5">
        <v>-1658</v>
      </c>
      <c r="U39" s="7">
        <v>56383</v>
      </c>
      <c r="V39" s="7">
        <v>54721</v>
      </c>
      <c r="W39" s="7">
        <v>54301</v>
      </c>
      <c r="X39" s="7">
        <v>56201</v>
      </c>
      <c r="Y39" s="8"/>
    </row>
    <row r="40" spans="1:25" ht="18" customHeight="1" x14ac:dyDescent="0.3">
      <c r="A40" s="3" t="s">
        <v>55</v>
      </c>
      <c r="B40" s="3" t="s">
        <v>116</v>
      </c>
      <c r="C40" s="3" t="s">
        <v>79</v>
      </c>
      <c r="D40" s="3" t="s">
        <v>76</v>
      </c>
      <c r="E40" s="3" t="s">
        <v>117</v>
      </c>
      <c r="F40" s="4">
        <v>52700</v>
      </c>
      <c r="G40" s="9"/>
      <c r="H40" s="9"/>
      <c r="I40" s="9"/>
      <c r="J40" s="9"/>
      <c r="K40" s="9"/>
      <c r="L40" s="9">
        <v>59602</v>
      </c>
      <c r="M40" s="9">
        <v>59709</v>
      </c>
      <c r="N40" s="9">
        <v>60402</v>
      </c>
      <c r="O40" s="9">
        <v>60008</v>
      </c>
      <c r="P40" s="9">
        <v>59237</v>
      </c>
      <c r="Q40" s="9">
        <v>59144</v>
      </c>
      <c r="R40" s="9">
        <v>59265</v>
      </c>
      <c r="S40" s="10">
        <v>-0.56540000000000001</v>
      </c>
      <c r="T40" s="9">
        <v>-337</v>
      </c>
      <c r="U40" s="7">
        <v>60245</v>
      </c>
      <c r="V40" s="7">
        <v>60211</v>
      </c>
      <c r="W40" s="7">
        <v>60297</v>
      </c>
      <c r="X40" s="7">
        <v>60564</v>
      </c>
      <c r="Y40" s="8"/>
    </row>
    <row r="41" spans="1:25" ht="18" customHeight="1" x14ac:dyDescent="0.3">
      <c r="A41" s="3" t="s">
        <v>55</v>
      </c>
      <c r="B41" s="3" t="s">
        <v>118</v>
      </c>
      <c r="C41" s="3" t="s">
        <v>79</v>
      </c>
      <c r="D41" s="3" t="s">
        <v>76</v>
      </c>
      <c r="E41" s="3" t="s">
        <v>119</v>
      </c>
      <c r="F41" s="4">
        <v>53500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59144</v>
      </c>
      <c r="R41" s="5">
        <v>59265</v>
      </c>
      <c r="S41" s="6">
        <v>0.2046</v>
      </c>
      <c r="T41" s="5">
        <v>121</v>
      </c>
      <c r="U41" s="7">
        <v>60245</v>
      </c>
      <c r="V41" s="7">
        <v>60211</v>
      </c>
      <c r="W41" s="7">
        <v>60297</v>
      </c>
      <c r="X41" s="7">
        <v>60564</v>
      </c>
      <c r="Y41" s="8"/>
    </row>
    <row r="42" spans="1:25" ht="18" customHeight="1" x14ac:dyDescent="0.3">
      <c r="A42" s="3" t="s">
        <v>55</v>
      </c>
      <c r="B42" s="3" t="s">
        <v>120</v>
      </c>
      <c r="C42" s="3" t="s">
        <v>79</v>
      </c>
      <c r="D42" s="3" t="s">
        <v>76</v>
      </c>
      <c r="E42" s="3" t="s">
        <v>121</v>
      </c>
      <c r="F42" s="4">
        <v>49500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>
        <v>59265</v>
      </c>
      <c r="S42" s="10"/>
      <c r="T42" s="9"/>
      <c r="U42" s="7">
        <v>60245</v>
      </c>
      <c r="V42" s="7">
        <v>60211</v>
      </c>
      <c r="W42" s="7">
        <v>60297</v>
      </c>
      <c r="X42" s="7">
        <v>60564</v>
      </c>
      <c r="Y42" s="8"/>
    </row>
    <row r="43" spans="1:25" ht="18" customHeight="1" x14ac:dyDescent="0.3">
      <c r="A43" s="3" t="s">
        <v>55</v>
      </c>
      <c r="B43" s="3" t="s">
        <v>122</v>
      </c>
      <c r="C43" s="3" t="s">
        <v>79</v>
      </c>
      <c r="D43" s="3" t="s">
        <v>76</v>
      </c>
      <c r="E43" s="3" t="s">
        <v>123</v>
      </c>
      <c r="F43" s="4">
        <v>53300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5"/>
      <c r="U43" s="7">
        <v>60245</v>
      </c>
      <c r="V43" s="7">
        <v>60211</v>
      </c>
      <c r="W43" s="7">
        <v>60297</v>
      </c>
      <c r="X43" s="7">
        <v>60564</v>
      </c>
      <c r="Y43" s="8"/>
    </row>
    <row r="44" spans="1:25" ht="18" customHeight="1" x14ac:dyDescent="0.3">
      <c r="A44" s="3" t="s">
        <v>55</v>
      </c>
      <c r="B44" s="3" t="s">
        <v>124</v>
      </c>
      <c r="C44" s="3" t="s">
        <v>79</v>
      </c>
      <c r="D44" s="3" t="s">
        <v>76</v>
      </c>
      <c r="E44" s="3" t="s">
        <v>125</v>
      </c>
      <c r="F44" s="4">
        <v>49900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0"/>
      <c r="T44" s="9"/>
      <c r="U44" s="7"/>
      <c r="V44" s="7">
        <v>60211</v>
      </c>
      <c r="W44" s="7">
        <v>60297</v>
      </c>
      <c r="X44" s="7">
        <v>60564</v>
      </c>
      <c r="Y44" s="8"/>
    </row>
    <row r="45" spans="1:25" ht="18" customHeight="1" x14ac:dyDescent="0.3">
      <c r="A45" s="3" t="s">
        <v>55</v>
      </c>
      <c r="B45" s="3" t="s">
        <v>126</v>
      </c>
      <c r="C45" s="3" t="s">
        <v>79</v>
      </c>
      <c r="D45" s="3" t="s">
        <v>76</v>
      </c>
      <c r="E45" s="3" t="s">
        <v>127</v>
      </c>
      <c r="F45" s="4">
        <v>50700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5"/>
      <c r="U45" s="7"/>
      <c r="V45" s="7">
        <v>60211</v>
      </c>
      <c r="W45" s="7">
        <v>60297</v>
      </c>
      <c r="X45" s="7">
        <v>60564</v>
      </c>
      <c r="Y45" s="8"/>
    </row>
    <row r="46" spans="1:25" ht="22.05" customHeight="1" x14ac:dyDescent="0.3">
      <c r="A46" s="13"/>
      <c r="B46" s="13"/>
      <c r="C46" s="13"/>
      <c r="D46" s="13"/>
      <c r="E46" s="13"/>
      <c r="F46" s="11">
        <f t="shared" ref="F46:X46" si="0">SUM(F3:F45)</f>
        <v>1819557</v>
      </c>
      <c r="G46" s="11">
        <f t="shared" si="0"/>
        <v>1476958</v>
      </c>
      <c r="H46" s="11">
        <f t="shared" si="0"/>
        <v>1595389</v>
      </c>
      <c r="I46" s="11">
        <f t="shared" si="0"/>
        <v>1712160</v>
      </c>
      <c r="J46" s="11">
        <f t="shared" si="0"/>
        <v>1763171</v>
      </c>
      <c r="K46" s="11">
        <f t="shared" si="0"/>
        <v>1813246</v>
      </c>
      <c r="L46" s="11">
        <f t="shared" si="0"/>
        <v>1873581</v>
      </c>
      <c r="M46" s="11">
        <f t="shared" si="0"/>
        <v>1865273</v>
      </c>
      <c r="N46" s="11">
        <f t="shared" si="0"/>
        <v>1864206</v>
      </c>
      <c r="O46" s="11">
        <f t="shared" si="0"/>
        <v>1848729</v>
      </c>
      <c r="P46" s="11">
        <f t="shared" si="0"/>
        <v>1831239</v>
      </c>
      <c r="Q46" s="11">
        <f t="shared" si="0"/>
        <v>1883768</v>
      </c>
      <c r="R46" s="11">
        <f>SUM(R3:R45)</f>
        <v>1942483</v>
      </c>
      <c r="S46" s="11"/>
      <c r="T46" s="11">
        <f t="shared" si="0"/>
        <v>-49433</v>
      </c>
      <c r="U46" s="11">
        <f t="shared" si="0"/>
        <v>2017044</v>
      </c>
      <c r="V46" s="11">
        <f t="shared" si="0"/>
        <v>2112852</v>
      </c>
      <c r="W46" s="11">
        <f t="shared" si="0"/>
        <v>2101861</v>
      </c>
      <c r="X46" s="11">
        <f t="shared" si="0"/>
        <v>2136691</v>
      </c>
    </row>
  </sheetData>
  <mergeCells count="2">
    <mergeCell ref="A46:E46"/>
    <mergeCell ref="A1:Y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6" sqref="D16"/>
    </sheetView>
  </sheetViews>
  <sheetFormatPr defaultRowHeight="14.4" x14ac:dyDescent="0.3"/>
  <cols>
    <col min="1" max="1" width="14" customWidth="1"/>
    <col min="2" max="2" width="12" customWidth="1"/>
    <col min="3" max="4" width="14" customWidth="1"/>
    <col min="5" max="5" width="60" customWidth="1"/>
  </cols>
  <sheetData>
    <row r="1" spans="1:5" x14ac:dyDescent="0.3">
      <c r="A1" s="1" t="s">
        <v>4</v>
      </c>
      <c r="B1" s="1" t="s">
        <v>1</v>
      </c>
      <c r="C1" s="1" t="s">
        <v>128</v>
      </c>
      <c r="D1" s="1" t="s">
        <v>129</v>
      </c>
      <c r="E1" s="1" t="s">
        <v>130</v>
      </c>
    </row>
    <row r="2" spans="1:5" x14ac:dyDescent="0.3">
      <c r="A2" s="12" t="s">
        <v>112</v>
      </c>
      <c r="B2" s="12" t="s">
        <v>55</v>
      </c>
      <c r="C2" s="12" t="s">
        <v>44</v>
      </c>
      <c r="D2" s="12">
        <v>1</v>
      </c>
      <c r="E2" s="12" t="s">
        <v>131</v>
      </c>
    </row>
    <row r="3" spans="1:5" x14ac:dyDescent="0.3">
      <c r="A3" s="12" t="s">
        <v>27</v>
      </c>
      <c r="B3" s="12" t="s">
        <v>24</v>
      </c>
      <c r="C3" s="12" t="s">
        <v>26</v>
      </c>
      <c r="D3" s="12">
        <v>2</v>
      </c>
      <c r="E3" s="12" t="s">
        <v>132</v>
      </c>
    </row>
    <row r="4" spans="1:5" x14ac:dyDescent="0.3">
      <c r="A4" s="12" t="s">
        <v>31</v>
      </c>
      <c r="B4" s="12" t="s">
        <v>24</v>
      </c>
      <c r="C4" s="12" t="s">
        <v>30</v>
      </c>
      <c r="D4" s="12">
        <v>13</v>
      </c>
      <c r="E4" s="12" t="s">
        <v>133</v>
      </c>
    </row>
    <row r="5" spans="1:5" x14ac:dyDescent="0.3">
      <c r="A5" s="12" t="s">
        <v>69</v>
      </c>
      <c r="B5" s="12" t="s">
        <v>24</v>
      </c>
      <c r="C5" s="12" t="s">
        <v>30</v>
      </c>
      <c r="D5" s="12">
        <v>1</v>
      </c>
      <c r="E5" s="12" t="s">
        <v>134</v>
      </c>
    </row>
    <row r="6" spans="1:5" x14ac:dyDescent="0.3">
      <c r="A6" s="12" t="s">
        <v>76</v>
      </c>
      <c r="B6" s="12" t="s">
        <v>55</v>
      </c>
      <c r="C6" s="12" t="s">
        <v>75</v>
      </c>
      <c r="D6" s="12">
        <v>17</v>
      </c>
      <c r="E6" s="12" t="s">
        <v>135</v>
      </c>
    </row>
    <row r="7" spans="1:5" x14ac:dyDescent="0.3">
      <c r="A7" s="12" t="s">
        <v>57</v>
      </c>
      <c r="B7" s="12" t="s">
        <v>55</v>
      </c>
      <c r="C7" s="12" t="s">
        <v>44</v>
      </c>
      <c r="D7" s="12">
        <v>5</v>
      </c>
      <c r="E7" s="12" t="s">
        <v>136</v>
      </c>
    </row>
    <row r="8" spans="1:5" x14ac:dyDescent="0.3">
      <c r="A8" s="12" t="s">
        <v>72</v>
      </c>
      <c r="B8" s="12" t="s">
        <v>70</v>
      </c>
      <c r="C8" s="12" t="s">
        <v>47</v>
      </c>
      <c r="D8" s="12">
        <v>1</v>
      </c>
      <c r="E8" s="12" t="s">
        <v>137</v>
      </c>
    </row>
    <row r="9" spans="1:5" x14ac:dyDescent="0.3">
      <c r="A9" s="12" t="s">
        <v>93</v>
      </c>
      <c r="B9" s="12" t="s">
        <v>91</v>
      </c>
      <c r="C9" s="12" t="s">
        <v>87</v>
      </c>
      <c r="D9" s="12">
        <v>1</v>
      </c>
      <c r="E9" s="12" t="s">
        <v>138</v>
      </c>
    </row>
    <row r="10" spans="1:5" x14ac:dyDescent="0.3">
      <c r="A10" s="12" t="s">
        <v>88</v>
      </c>
      <c r="B10" s="12" t="s">
        <v>85</v>
      </c>
      <c r="C10" s="12" t="s">
        <v>87</v>
      </c>
      <c r="D10" s="12">
        <v>2</v>
      </c>
      <c r="E10" s="12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Frota_FIPE</vt:lpstr>
      <vt:lpstr>Codigos_FIPE_Unicos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K. Medeiros</cp:lastModifiedBy>
  <dcterms:created xsi:type="dcterms:W3CDTF">2026-05-13T15:40:40Z</dcterms:created>
  <dcterms:modified xsi:type="dcterms:W3CDTF">2026-05-13T16:52:03Z</dcterms:modified>
</cp:coreProperties>
</file>