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arol/Downloads/Ativuz/"/>
    </mc:Choice>
  </mc:AlternateContent>
  <xr:revisionPtr revIDLastSave="0" documentId="13_ncr:1_{BAE72B01-3ED1-294A-B3C1-93C85665D900}" xr6:coauthVersionLast="47" xr6:coauthVersionMax="47" xr10:uidLastSave="{00000000-0000-0000-0000-000000000000}"/>
  <bookViews>
    <workbookView xWindow="0" yWindow="660" windowWidth="29400" windowHeight="17220" tabRatio="500" xr2:uid="{00000000-000D-0000-FFFF-FFFF00000000}"/>
  </bookViews>
  <sheets>
    <sheet name="Resumo Executivo" sheetId="1" r:id="rId1"/>
    <sheet name="Detalhamento por Cliente" sheetId="2" r:id="rId2"/>
    <sheet name="Análise por Etap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3" l="1"/>
  <c r="D19" i="3"/>
  <c r="C19" i="3"/>
  <c r="F18" i="3"/>
  <c r="F17" i="3"/>
  <c r="F16" i="3"/>
  <c r="F15" i="3"/>
  <c r="F14" i="3"/>
  <c r="F13" i="3"/>
  <c r="F12" i="3"/>
  <c r="F11" i="3"/>
  <c r="F10" i="3"/>
  <c r="F19" i="3" s="1"/>
  <c r="C7" i="3"/>
  <c r="B7" i="3"/>
  <c r="F160" i="2"/>
  <c r="E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8" i="2"/>
  <c r="G17" i="2"/>
  <c r="G16" i="2"/>
  <c r="G15" i="2"/>
  <c r="G14" i="2"/>
  <c r="G13" i="2"/>
  <c r="G12" i="2"/>
  <c r="G11" i="2"/>
  <c r="G10" i="2"/>
  <c r="G160" i="2" s="1"/>
  <c r="D7" i="2"/>
  <c r="B7" i="2"/>
  <c r="F160" i="1"/>
  <c r="H159" i="1"/>
  <c r="G159" i="1"/>
  <c r="H158" i="1"/>
  <c r="G158" i="1"/>
  <c r="H157" i="1"/>
  <c r="G157" i="1"/>
  <c r="H156" i="1"/>
  <c r="G156" i="1"/>
  <c r="H155" i="1"/>
  <c r="G155" i="1"/>
  <c r="H154" i="1"/>
  <c r="G154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6" i="1"/>
  <c r="G146" i="1"/>
  <c r="H145" i="1"/>
  <c r="G145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7" i="1"/>
  <c r="G137" i="1"/>
  <c r="H136" i="1"/>
  <c r="G136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8" i="1"/>
  <c r="G128" i="1"/>
  <c r="H127" i="1"/>
  <c r="G127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H119" i="1"/>
  <c r="G119" i="1"/>
  <c r="H118" i="1"/>
  <c r="G118" i="1"/>
  <c r="H117" i="1"/>
  <c r="G117" i="1"/>
  <c r="H116" i="1"/>
  <c r="G116" i="1"/>
  <c r="H115" i="1"/>
  <c r="G115" i="1"/>
  <c r="H114" i="1"/>
  <c r="G114" i="1"/>
  <c r="H113" i="1"/>
  <c r="G113" i="1"/>
  <c r="H112" i="1"/>
  <c r="G112" i="1"/>
  <c r="H111" i="1"/>
  <c r="G111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3" i="1"/>
  <c r="G103" i="1"/>
  <c r="H102" i="1"/>
  <c r="G102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G18" i="1"/>
  <c r="H18" i="1" s="1"/>
  <c r="H17" i="1"/>
  <c r="G17" i="1"/>
  <c r="G16" i="1"/>
  <c r="H16" i="1" s="1"/>
  <c r="G15" i="1"/>
  <c r="H15" i="1" s="1"/>
  <c r="G14" i="1"/>
  <c r="H14" i="1" s="1"/>
  <c r="H13" i="1"/>
  <c r="G13" i="1"/>
  <c r="G12" i="1"/>
  <c r="H12" i="1" s="1"/>
  <c r="G11" i="1"/>
  <c r="H11" i="1" s="1"/>
  <c r="G10" i="1"/>
  <c r="F7" i="1" s="1"/>
  <c r="C7" i="1"/>
  <c r="B7" i="1"/>
  <c r="H10" i="1" l="1"/>
  <c r="E7" i="3"/>
  <c r="G160" i="1"/>
  <c r="F7" i="2"/>
  <c r="H160" i="1" l="1"/>
  <c r="H7" i="1"/>
</calcChain>
</file>

<file path=xl/sharedStrings.xml><?xml version="1.0" encoding="utf-8"?>
<sst xmlns="http://schemas.openxmlformats.org/spreadsheetml/2006/main" count="104" uniqueCount="54">
  <si>
    <t>RELATÓRIO DE INADIMPLÊNCIA</t>
  </si>
  <si>
    <t>ATIVUZ VEÍCULOS  ·  Gerado em: 27/05/2026  ·  Todos os títulos — ordem por maior valor</t>
  </si>
  <si>
    <t>CLIENTES EM ATRASO</t>
  </si>
  <si>
    <t>VALOR ORIGINAL TOTAL</t>
  </si>
  <si>
    <t>TOTAL DE JUROS</t>
  </si>
  <si>
    <t>TOTAL ATUALIZADO</t>
  </si>
  <si>
    <t>CLIENTE</t>
  </si>
  <si>
    <t>ETAPA</t>
  </si>
  <si>
    <t>VENCIMENTO</t>
  </si>
  <si>
    <t>ATRASO
(dias)</t>
  </si>
  <si>
    <t>VALOR ORIGINAL</t>
  </si>
  <si>
    <t>JUROS MORA</t>
  </si>
  <si>
    <t>JOÃO DA SILVA EXEMPLO</t>
  </si>
  <si>
    <t>Hoje</t>
  </si>
  <si>
    <t>27/05/2026</t>
  </si>
  <si>
    <t>MARIA OLIVEIRA DEMONSTRAÇÃO</t>
  </si>
  <si>
    <t>Terça</t>
  </si>
  <si>
    <t>26/05/2026</t>
  </si>
  <si>
    <t>CARLOS TESTE FICTÍCIO</t>
  </si>
  <si>
    <t>Quarta</t>
  </si>
  <si>
    <t>25/05/2026</t>
  </si>
  <si>
    <t>ANA SOUZA MODELO</t>
  </si>
  <si>
    <t>Quinta</t>
  </si>
  <si>
    <t>24/05/2026</t>
  </si>
  <si>
    <t>PEDRO EXEMPLO LTDA</t>
  </si>
  <si>
    <t>Sexta</t>
  </si>
  <si>
    <t>23/05/2026</t>
  </si>
  <si>
    <t>EMPRESA FICTÍCIA S.A.</t>
  </si>
  <si>
    <t>D+5</t>
  </si>
  <si>
    <t>22/05/2026</t>
  </si>
  <si>
    <t>LUCAS DEMONSTRAÇÃO ME</t>
  </si>
  <si>
    <t>D+7</t>
  </si>
  <si>
    <t>20/05/2026</t>
  </si>
  <si>
    <t>ROBERTO MODELO EXEMPLO</t>
  </si>
  <si>
    <t>D+10</t>
  </si>
  <si>
    <t>17/05/2026</t>
  </si>
  <si>
    <t>FERNANDA FICTÍCIA COMÉRCIO</t>
  </si>
  <si>
    <t>D+15</t>
  </si>
  <si>
    <t>12/05/2026</t>
  </si>
  <si>
    <t>↑ Linhas acima são apenas EXEMPLOS de preenchimento — substitua pelos dados reais</t>
  </si>
  <si>
    <t>TOTAL</t>
  </si>
  <si>
    <t>DETALHAMENTO POR CLIENTE — COBRANÇAS EM ABERTO</t>
  </si>
  <si>
    <t>Valores consolidados por cliente — ordem alfabética  ·  27/05/2026</t>
  </si>
  <si>
    <t>CLIENTES ÚNICOS</t>
  </si>
  <si>
    <t>VALOR EM ABERTO</t>
  </si>
  <si>
    <t>ETAPA
PIOR</t>
  </si>
  <si>
    <t>TÍTULOS</t>
  </si>
  <si>
    <t>ANÁLISE POR ETAPA DE COBRANÇA</t>
  </si>
  <si>
    <t>Resumo consolidado por etapa de cobrança  ·  27/05/2026</t>
  </si>
  <si>
    <t>ETAPAS ATIVAS</t>
  </si>
  <si>
    <t>TOTAL CLIENTES</t>
  </si>
  <si>
    <t>Nº CLIENTES</t>
  </si>
  <si>
    <t>Etapa</t>
  </si>
  <si>
    <t>Total Atualizado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</si>
</sst>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i/>
      <sz val="9"/>
      <color rgb="FFAAB7C4"/>
      <name val="Calibri"/>
      <family val="2"/>
    </font>
    <font>
      <sz val="8"/>
      <color rgb="FFBFC9CA"/>
      <name val="Calibri"/>
      <family val="2"/>
    </font>
    <font>
      <b/>
      <sz val="13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4A235A"/>
      <name val="Calibri"/>
      <family val="2"/>
    </font>
    <font>
      <sz val="9"/>
      <color rgb="FF17202A"/>
      <name val="Calibri"/>
      <family val="2"/>
    </font>
    <font>
      <b/>
      <sz val="9"/>
      <color rgb="FF17202A"/>
      <name val="Calibri"/>
      <family val="2"/>
    </font>
    <font>
      <sz val="9"/>
      <color rgb="FFC0392B"/>
      <name val="Calibri"/>
      <family val="2"/>
    </font>
    <font>
      <i/>
      <sz val="8"/>
      <color rgb="FF7F8C8D"/>
      <name val="Calibri"/>
      <family val="2"/>
    </font>
    <font>
      <sz val="8"/>
      <color rgb="FF9DA4B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1A3A5C"/>
        <bgColor rgb="FF1A5276"/>
      </patternFill>
    </fill>
    <fill>
      <patternFill patternType="solid">
        <fgColor rgb="FF0D2340"/>
        <bgColor rgb="FF17202A"/>
      </patternFill>
    </fill>
    <fill>
      <patternFill patternType="solid">
        <fgColor rgb="FF1A5276"/>
        <bgColor rgb="FF1A3A5C"/>
      </patternFill>
    </fill>
    <fill>
      <patternFill patternType="solid">
        <fgColor rgb="FFC0392B"/>
        <bgColor rgb="FFE74C3C"/>
      </patternFill>
    </fill>
    <fill>
      <patternFill patternType="solid">
        <fgColor rgb="FFE67E22"/>
        <bgColor rgb="FFFF9900"/>
      </patternFill>
    </fill>
    <fill>
      <patternFill patternType="solid">
        <fgColor rgb="FF1E8449"/>
        <bgColor rgb="FF008080"/>
      </patternFill>
    </fill>
    <fill>
      <patternFill patternType="solid">
        <fgColor rgb="FFF4F8FB"/>
        <bgColor rgb="FFF9F9F9"/>
      </patternFill>
    </fill>
    <fill>
      <patternFill patternType="solid">
        <fgColor rgb="FF27AE60"/>
        <bgColor rgb="FF2ECC71"/>
      </patternFill>
    </fill>
    <fill>
      <patternFill patternType="solid">
        <fgColor rgb="FFD7EAF9"/>
        <bgColor rgb="FFE8EAF0"/>
      </patternFill>
    </fill>
    <fill>
      <patternFill patternType="solid">
        <fgColor rgb="FFFADBD8"/>
        <bgColor rgb="FFE8EAF0"/>
      </patternFill>
    </fill>
    <fill>
      <patternFill patternType="solid">
        <fgColor rgb="FFD5F5E3"/>
        <bgColor rgb="FFD7EAF9"/>
      </patternFill>
    </fill>
    <fill>
      <patternFill patternType="solid">
        <fgColor rgb="FFFFFFFF"/>
        <bgColor rgb="FFF9F9F9"/>
      </patternFill>
    </fill>
    <fill>
      <patternFill patternType="solid">
        <fgColor rgb="FF2ECC71"/>
        <bgColor rgb="FF27AE60"/>
      </patternFill>
    </fill>
    <fill>
      <patternFill patternType="solid">
        <fgColor rgb="FFF1C40F"/>
        <bgColor rgb="FFFF9900"/>
      </patternFill>
    </fill>
    <fill>
      <patternFill patternType="solid">
        <fgColor rgb="FFE74C3C"/>
        <bgColor rgb="FFC0392B"/>
      </patternFill>
    </fill>
    <fill>
      <patternFill patternType="solid">
        <fgColor rgb="FF922B21"/>
        <bgColor rgb="FF7B241C"/>
      </patternFill>
    </fill>
    <fill>
      <patternFill patternType="solid">
        <fgColor rgb="FF7B241C"/>
        <bgColor rgb="FF641E16"/>
      </patternFill>
    </fill>
    <fill>
      <patternFill patternType="solid">
        <fgColor rgb="FF641E16"/>
        <bgColor rgb="FF7B241C"/>
      </patternFill>
    </fill>
    <fill>
      <patternFill patternType="solid">
        <fgColor rgb="FFFEF9E7"/>
        <bgColor rgb="FFF9F9F9"/>
      </patternFill>
    </fill>
    <fill>
      <patternFill patternType="solid">
        <fgColor rgb="FFE8EAF0"/>
        <bgColor rgb="FFD7EAF9"/>
      </patternFill>
    </fill>
  </fills>
  <borders count="4">
    <border>
      <left/>
      <right/>
      <top/>
      <bottom/>
      <diagonal/>
    </border>
    <border>
      <left style="thin">
        <color rgb="FF1A3A5C"/>
      </left>
      <right style="thin">
        <color rgb="FF1A3A5C"/>
      </right>
      <top style="medium">
        <color rgb="FF0D2340"/>
      </top>
      <bottom style="medium">
        <color rgb="FF0D234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0D2340"/>
      </left>
      <right style="medium">
        <color rgb="FF0D2340"/>
      </right>
      <top style="medium">
        <color rgb="FF0D2340"/>
      </top>
      <bottom style="medium">
        <color rgb="FF0D2340"/>
      </bottom>
      <diagonal/>
    </border>
  </borders>
  <cellStyleXfs count="1">
    <xf numFmtId="0" fontId="0" fillId="0" borderId="0"/>
  </cellStyleXfs>
  <cellXfs count="57">
    <xf numFmtId="0" fontId="0" fillId="0" borderId="0" xfId="0"/>
    <xf numFmtId="164" fontId="4" fillId="7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10" fillId="20" borderId="2" xfId="0" applyFont="1" applyFill="1" applyBorder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64" fontId="7" fillId="10" borderId="2" xfId="0" applyNumberFormat="1" applyFont="1" applyFill="1" applyBorder="1" applyAlignment="1">
      <alignment horizontal="right" vertical="center"/>
    </xf>
    <xf numFmtId="164" fontId="7" fillId="11" borderId="2" xfId="0" applyNumberFormat="1" applyFont="1" applyFill="1" applyBorder="1" applyAlignment="1">
      <alignment horizontal="right" vertical="center"/>
    </xf>
    <xf numFmtId="164" fontId="9" fillId="12" borderId="2" xfId="0" applyNumberFormat="1" applyFont="1" applyFill="1" applyBorder="1" applyAlignment="1">
      <alignment horizontal="right" vertical="center"/>
    </xf>
    <xf numFmtId="0" fontId="6" fillId="13" borderId="2" xfId="0" applyFont="1" applyFill="1" applyBorder="1" applyAlignment="1">
      <alignment horizontal="left" vertical="center"/>
    </xf>
    <xf numFmtId="0" fontId="5" fillId="14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0" fillId="8" borderId="2" xfId="0" applyFill="1" applyBorder="1"/>
    <xf numFmtId="0" fontId="11" fillId="21" borderId="2" xfId="0" applyFont="1" applyFill="1" applyBorder="1" applyAlignment="1">
      <alignment horizontal="center" vertical="center"/>
    </xf>
    <xf numFmtId="164" fontId="0" fillId="10" borderId="2" xfId="0" applyNumberFormat="1" applyFill="1" applyBorder="1" applyAlignment="1">
      <alignment horizontal="right" vertical="center"/>
    </xf>
    <xf numFmtId="0" fontId="0" fillId="13" borderId="2" xfId="0" applyFill="1" applyBorder="1"/>
    <xf numFmtId="164" fontId="12" fillId="2" borderId="3" xfId="0" applyNumberFormat="1" applyFont="1" applyFill="1" applyBorder="1" applyAlignment="1">
      <alignment horizontal="right" vertical="center"/>
    </xf>
    <xf numFmtId="164" fontId="0" fillId="11" borderId="2" xfId="0" applyNumberFormat="1" applyFill="1" applyBorder="1" applyAlignment="1">
      <alignment horizontal="right" vertical="center"/>
    </xf>
    <xf numFmtId="0" fontId="13" fillId="9" borderId="2" xfId="0" applyFont="1" applyFill="1" applyBorder="1" applyAlignment="1">
      <alignment horizontal="center" vertical="center"/>
    </xf>
    <xf numFmtId="164" fontId="7" fillId="12" borderId="2" xfId="0" applyNumberFormat="1" applyFont="1" applyFill="1" applyBorder="1" applyAlignment="1">
      <alignment horizontal="right" vertical="center"/>
    </xf>
    <xf numFmtId="0" fontId="13" fillId="14" borderId="2" xfId="0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4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41E16"/>
      <rgbColor rgb="FF008000"/>
      <rgbColor rgb="FF000080"/>
      <rgbColor rgb="FF808000"/>
      <rgbColor rgb="FF800080"/>
      <rgbColor rgb="FF1E8449"/>
      <rgbColor rgb="FFBDC3C7"/>
      <rgbColor rgb="FF878787"/>
      <rgbColor rgb="FF7F8C8D"/>
      <rgbColor rgb="FFC0392B"/>
      <rgbColor rgb="FFFEF9E7"/>
      <rgbColor rgb="FFD7EAF9"/>
      <rgbColor rgb="FF660066"/>
      <rgbColor rgb="FFE74C3C"/>
      <rgbColor rgb="FF1A5276"/>
      <rgbColor rgb="FFD9D9D9"/>
      <rgbColor rgb="FF000080"/>
      <rgbColor rgb="FFFF00FF"/>
      <rgbColor rgb="FFFFFF00"/>
      <rgbColor rgb="FF00FFFF"/>
      <rgbColor rgb="FF800080"/>
      <rgbColor rgb="FF7B241C"/>
      <rgbColor rgb="FF008080"/>
      <rgbColor rgb="FF0000FF"/>
      <rgbColor rgb="FF00CCFF"/>
      <rgbColor rgb="FFF4F8FB"/>
      <rgbColor rgb="FFD5F5E3"/>
      <rgbColor rgb="FFF9F9F9"/>
      <rgbColor rgb="FFAAB7C4"/>
      <rgbColor rgb="FFE8EAF0"/>
      <rgbColor rgb="FFBFC9CA"/>
      <rgbColor rgb="FFFADBD8"/>
      <rgbColor rgb="FF3366FF"/>
      <rgbColor rgb="FF2ECC71"/>
      <rgbColor rgb="FF99CC00"/>
      <rgbColor rgb="FFF1C40F"/>
      <rgbColor rgb="FFFF9900"/>
      <rgbColor rgb="FFE67E22"/>
      <rgbColor rgb="FF4F81BD"/>
      <rgbColor rgb="FF9DA4B0"/>
      <rgbColor rgb="FF1A3A5C"/>
      <rgbColor rgb="FF27AE60"/>
      <rgbColor rgb="FF0D2340"/>
      <rgbColor rgb="FF333300"/>
      <rgbColor rgb="FF922B21"/>
      <rgbColor rgb="FF993366"/>
      <rgbColor rgb="FF4A235A"/>
      <rgbColor rgb="FF1720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Total Atualizado por Etapa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por Etapa'!$I$9</c:f>
              <c:strCache>
                <c:ptCount val="1"/>
                <c:pt idx="0">
                  <c:v>Total Atualizado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7AE6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03A-C245-B92E-D97F43B10FE5}"/>
              </c:ext>
            </c:extLst>
          </c:dPt>
          <c:dPt>
            <c:idx val="1"/>
            <c:invertIfNegative val="0"/>
            <c:bubble3D val="0"/>
            <c:spPr>
              <a:solidFill>
                <a:srgbClr val="2ECC7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03A-C245-B92E-D97F43B10FE5}"/>
              </c:ext>
            </c:extLst>
          </c:dPt>
          <c:dPt>
            <c:idx val="2"/>
            <c:invertIfNegative val="0"/>
            <c:bubble3D val="0"/>
            <c:spPr>
              <a:solidFill>
                <a:srgbClr val="F1C40F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03A-C245-B92E-D97F43B10FE5}"/>
              </c:ext>
            </c:extLst>
          </c:dPt>
          <c:dPt>
            <c:idx val="3"/>
            <c:invertIfNegative val="0"/>
            <c:bubble3D val="0"/>
            <c:spPr>
              <a:solidFill>
                <a:srgbClr val="E67E2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503A-C245-B92E-D97F43B10FE5}"/>
              </c:ext>
            </c:extLst>
          </c:dPt>
          <c:dPt>
            <c:idx val="4"/>
            <c:invertIfNegative val="0"/>
            <c:bubble3D val="0"/>
            <c:spPr>
              <a:solidFill>
                <a:srgbClr val="E74C3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503A-C245-B92E-D97F43B10FE5}"/>
              </c:ext>
            </c:extLst>
          </c:dPt>
          <c:dPt>
            <c:idx val="5"/>
            <c:invertIfNegative val="0"/>
            <c:bubble3D val="0"/>
            <c:spPr>
              <a:solidFill>
                <a:srgbClr val="C0392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503A-C245-B92E-D97F43B10FE5}"/>
              </c:ext>
            </c:extLst>
          </c:dPt>
          <c:dPt>
            <c:idx val="6"/>
            <c:invertIfNegative val="0"/>
            <c:bubble3D val="0"/>
            <c:spPr>
              <a:solidFill>
                <a:srgbClr val="922B2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503A-C245-B92E-D97F43B10FE5}"/>
              </c:ext>
            </c:extLst>
          </c:dPt>
          <c:dPt>
            <c:idx val="7"/>
            <c:invertIfNegative val="0"/>
            <c:bubble3D val="0"/>
            <c:spPr>
              <a:solidFill>
                <a:srgbClr val="7B241C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503A-C245-B92E-D97F43B10FE5}"/>
              </c:ext>
            </c:extLst>
          </c:dPt>
          <c:dPt>
            <c:idx val="8"/>
            <c:invertIfNegative val="0"/>
            <c:bubble3D val="0"/>
            <c:spPr>
              <a:solidFill>
                <a:srgbClr val="641E1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503A-C245-B92E-D97F43B10FE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03A-C245-B92E-D97F43B10FE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03A-C245-B92E-D97F43B10FE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03A-C245-B92E-D97F43B10FE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03A-C245-B92E-D97F43B10FE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03A-C245-B92E-D97F43B10FE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503A-C245-B92E-D97F43B10FE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503A-C245-B92E-D97F43B10FE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503A-C245-B92E-D97F43B10FE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503A-C245-B92E-D97F43B10F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'Análise por Etapa'!$H$10:$H$18</c:f>
              <c:strCache>
                <c:ptCount val="9"/>
                <c:pt idx="0">
                  <c:v>Hoje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D+5</c:v>
                </c:pt>
                <c:pt idx="6">
                  <c:v>D+7</c:v>
                </c:pt>
                <c:pt idx="7">
                  <c:v>D+10</c:v>
                </c:pt>
                <c:pt idx="8">
                  <c:v>D+15</c:v>
                </c:pt>
              </c:strCache>
            </c:strRef>
          </c:cat>
          <c:val>
            <c:numRef>
              <c:f>'Análise por Etapa'!$I$10:$I$18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03A-C245-B92E-D97F43B10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20620"/>
        <c:axId val="17673400"/>
      </c:barChart>
      <c:catAx>
        <c:axId val="585206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7673400"/>
        <c:crosses val="autoZero"/>
        <c:auto val="1"/>
        <c:lblAlgn val="ctr"/>
        <c:lblOffset val="100"/>
        <c:noMultiLvlLbl val="0"/>
      </c:catAx>
      <c:valAx>
        <c:axId val="17673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585206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5</xdr:col>
      <xdr:colOff>1107000</xdr:colOff>
      <xdr:row>40</xdr:row>
      <xdr:rowOff>149040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A5C"/>
  </sheetPr>
  <dimension ref="B1:H160"/>
  <sheetViews>
    <sheetView showGridLines="0" tabSelected="1" zoomScale="95" zoomScaleNormal="9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7" sqref="B7"/>
    </sheetView>
  </sheetViews>
  <sheetFormatPr baseColWidth="10" defaultColWidth="8.6640625" defaultRowHeight="15" x14ac:dyDescent="0.2"/>
  <cols>
    <col min="1" max="1" width="0.83203125" customWidth="1"/>
    <col min="2" max="2" width="32" customWidth="1"/>
    <col min="3" max="3" width="10" customWidth="1"/>
    <col min="4" max="4" width="14" customWidth="1"/>
    <col min="5" max="5" width="10" customWidth="1"/>
    <col min="6" max="8" width="15" customWidth="1"/>
    <col min="9" max="9" width="0.83203125" customWidth="1"/>
  </cols>
  <sheetData>
    <row r="1" spans="2:8" ht="6" customHeight="1" x14ac:dyDescent="0.2"/>
    <row r="2" spans="2:8" ht="37.5" customHeight="1" x14ac:dyDescent="0.2">
      <c r="B2" s="12" t="s">
        <v>0</v>
      </c>
      <c r="C2" s="12"/>
      <c r="D2" s="12"/>
      <c r="E2" s="12"/>
      <c r="F2" s="12"/>
      <c r="G2" s="12"/>
      <c r="H2" s="12"/>
    </row>
    <row r="3" spans="2:8" ht="18" customHeight="1" x14ac:dyDescent="0.2">
      <c r="B3" s="11" t="s">
        <v>1</v>
      </c>
      <c r="C3" s="11"/>
      <c r="D3" s="11"/>
      <c r="E3" s="11"/>
      <c r="F3" s="11"/>
      <c r="G3" s="11"/>
      <c r="H3" s="11"/>
    </row>
    <row r="4" spans="2:8" ht="7.5" customHeight="1" x14ac:dyDescent="0.2"/>
    <row r="5" spans="2:8" ht="6" customHeight="1" x14ac:dyDescent="0.2"/>
    <row r="6" spans="2:8" ht="15.75" customHeight="1" x14ac:dyDescent="0.2">
      <c r="B6" s="13" t="s">
        <v>2</v>
      </c>
      <c r="C6" s="10" t="s">
        <v>3</v>
      </c>
      <c r="D6" s="10"/>
      <c r="E6" s="10"/>
      <c r="F6" s="9" t="s">
        <v>4</v>
      </c>
      <c r="G6" s="9"/>
      <c r="H6" s="14" t="s">
        <v>5</v>
      </c>
    </row>
    <row r="7" spans="2:8" ht="27.75" customHeight="1" x14ac:dyDescent="0.2">
      <c r="B7" s="56">
        <f>COUNTA(B10:B159)</f>
        <v>10</v>
      </c>
      <c r="C7" s="8">
        <f>SUM(F10:F159)</f>
        <v>11355.5</v>
      </c>
      <c r="D7" s="8"/>
      <c r="E7" s="8"/>
      <c r="F7" s="7">
        <f>SUM(G10:G159)</f>
        <v>1069.1575</v>
      </c>
      <c r="G7" s="7"/>
      <c r="H7" s="16">
        <f>SUM(H10:H159)</f>
        <v>12424.657499999999</v>
      </c>
    </row>
    <row r="8" spans="2:8" ht="7.5" customHeight="1" x14ac:dyDescent="0.2"/>
    <row r="9" spans="2:8" ht="27.75" customHeight="1" x14ac:dyDescent="0.2">
      <c r="B9" s="17" t="s">
        <v>6</v>
      </c>
      <c r="C9" s="18" t="s">
        <v>7</v>
      </c>
      <c r="D9" s="18" t="s">
        <v>8</v>
      </c>
      <c r="E9" s="19" t="s">
        <v>9</v>
      </c>
      <c r="F9" s="20" t="s">
        <v>10</v>
      </c>
      <c r="G9" s="20" t="s">
        <v>11</v>
      </c>
      <c r="H9" s="20" t="s">
        <v>5</v>
      </c>
    </row>
    <row r="10" spans="2:8" ht="16.5" customHeight="1" x14ac:dyDescent="0.2">
      <c r="B10" s="21" t="s">
        <v>12</v>
      </c>
      <c r="C10" s="22" t="s">
        <v>13</v>
      </c>
      <c r="D10" s="23" t="s">
        <v>14</v>
      </c>
      <c r="E10" s="24">
        <v>1</v>
      </c>
      <c r="F10" s="25">
        <v>320</v>
      </c>
      <c r="G10" s="26">
        <f t="shared" ref="G10:G18" si="0">IF(F10="","",F10*0.05+F10*0.005*E10)</f>
        <v>17.600000000000001</v>
      </c>
      <c r="H10" s="27">
        <f t="shared" ref="H10:H18" si="1">IF(F10="","",F10+G10)</f>
        <v>337.6</v>
      </c>
    </row>
    <row r="11" spans="2:8" ht="16.5" customHeight="1" x14ac:dyDescent="0.2">
      <c r="B11" s="28" t="s">
        <v>15</v>
      </c>
      <c r="C11" s="29" t="s">
        <v>16</v>
      </c>
      <c r="D11" s="30" t="s">
        <v>17</v>
      </c>
      <c r="E11" s="31">
        <v>2</v>
      </c>
      <c r="F11" s="25">
        <v>850</v>
      </c>
      <c r="G11" s="26">
        <f t="shared" si="0"/>
        <v>51</v>
      </c>
      <c r="H11" s="27">
        <f t="shared" si="1"/>
        <v>901</v>
      </c>
    </row>
    <row r="12" spans="2:8" ht="16.5" customHeight="1" x14ac:dyDescent="0.2">
      <c r="B12" s="21" t="s">
        <v>18</v>
      </c>
      <c r="C12" s="32" t="s">
        <v>19</v>
      </c>
      <c r="D12" s="23" t="s">
        <v>20</v>
      </c>
      <c r="E12" s="24">
        <v>3</v>
      </c>
      <c r="F12" s="25">
        <v>475.5</v>
      </c>
      <c r="G12" s="26">
        <f t="shared" si="0"/>
        <v>30.907500000000002</v>
      </c>
      <c r="H12" s="27">
        <f t="shared" si="1"/>
        <v>506.40750000000003</v>
      </c>
    </row>
    <row r="13" spans="2:8" ht="16.5" customHeight="1" x14ac:dyDescent="0.2">
      <c r="B13" s="28" t="s">
        <v>21</v>
      </c>
      <c r="C13" s="33" t="s">
        <v>22</v>
      </c>
      <c r="D13" s="30" t="s">
        <v>23</v>
      </c>
      <c r="E13" s="31">
        <v>4</v>
      </c>
      <c r="F13" s="25">
        <v>1200</v>
      </c>
      <c r="G13" s="26">
        <f t="shared" si="0"/>
        <v>84</v>
      </c>
      <c r="H13" s="27">
        <f t="shared" si="1"/>
        <v>1284</v>
      </c>
    </row>
    <row r="14" spans="2:8" ht="16.5" customHeight="1" x14ac:dyDescent="0.2">
      <c r="B14" s="21" t="s">
        <v>24</v>
      </c>
      <c r="C14" s="34" t="s">
        <v>25</v>
      </c>
      <c r="D14" s="23" t="s">
        <v>26</v>
      </c>
      <c r="E14" s="24">
        <v>5</v>
      </c>
      <c r="F14" s="25">
        <v>690</v>
      </c>
      <c r="G14" s="26">
        <f t="shared" si="0"/>
        <v>51.75</v>
      </c>
      <c r="H14" s="27">
        <f t="shared" si="1"/>
        <v>741.75</v>
      </c>
    </row>
    <row r="15" spans="2:8" ht="16.5" customHeight="1" x14ac:dyDescent="0.2">
      <c r="B15" s="28" t="s">
        <v>27</v>
      </c>
      <c r="C15" s="35" t="s">
        <v>28</v>
      </c>
      <c r="D15" s="30" t="s">
        <v>29</v>
      </c>
      <c r="E15" s="31">
        <v>6</v>
      </c>
      <c r="F15" s="25">
        <v>2100</v>
      </c>
      <c r="G15" s="26">
        <f t="shared" si="0"/>
        <v>168</v>
      </c>
      <c r="H15" s="27">
        <f t="shared" si="1"/>
        <v>2268</v>
      </c>
    </row>
    <row r="16" spans="2:8" ht="16.5" customHeight="1" x14ac:dyDescent="0.2">
      <c r="B16" s="21" t="s">
        <v>30</v>
      </c>
      <c r="C16" s="36" t="s">
        <v>31</v>
      </c>
      <c r="D16" s="23" t="s">
        <v>32</v>
      </c>
      <c r="E16" s="24">
        <v>8</v>
      </c>
      <c r="F16" s="25">
        <v>980</v>
      </c>
      <c r="G16" s="26">
        <f t="shared" si="0"/>
        <v>88.2</v>
      </c>
      <c r="H16" s="27">
        <f t="shared" si="1"/>
        <v>1068.2</v>
      </c>
    </row>
    <row r="17" spans="2:8" ht="16.5" customHeight="1" x14ac:dyDescent="0.2">
      <c r="B17" s="28" t="s">
        <v>33</v>
      </c>
      <c r="C17" s="37" t="s">
        <v>34</v>
      </c>
      <c r="D17" s="30" t="s">
        <v>35</v>
      </c>
      <c r="E17" s="31">
        <v>11</v>
      </c>
      <c r="F17" s="25">
        <v>1540</v>
      </c>
      <c r="G17" s="26">
        <f t="shared" si="0"/>
        <v>161.69999999999999</v>
      </c>
      <c r="H17" s="27">
        <f t="shared" si="1"/>
        <v>1701.7</v>
      </c>
    </row>
    <row r="18" spans="2:8" ht="16.5" customHeight="1" x14ac:dyDescent="0.2">
      <c r="B18" s="21" t="s">
        <v>36</v>
      </c>
      <c r="C18" s="38" t="s">
        <v>37</v>
      </c>
      <c r="D18" s="23" t="s">
        <v>38</v>
      </c>
      <c r="E18" s="24">
        <v>16</v>
      </c>
      <c r="F18" s="25">
        <v>3200</v>
      </c>
      <c r="G18" s="26">
        <f t="shared" si="0"/>
        <v>416</v>
      </c>
      <c r="H18" s="27">
        <f t="shared" si="1"/>
        <v>3616</v>
      </c>
    </row>
    <row r="19" spans="2:8" ht="15.75" customHeight="1" x14ac:dyDescent="0.2">
      <c r="B19" s="6" t="s">
        <v>39</v>
      </c>
      <c r="C19" s="6"/>
      <c r="D19" s="6"/>
      <c r="E19" s="6"/>
      <c r="F19" s="6"/>
      <c r="G19" s="6"/>
      <c r="H19" s="6"/>
    </row>
    <row r="20" spans="2:8" ht="16.5" customHeight="1" x14ac:dyDescent="0.2">
      <c r="B20" s="39"/>
      <c r="C20" s="40"/>
      <c r="D20" s="39"/>
      <c r="E20" s="39"/>
      <c r="F20" s="41"/>
      <c r="G20" s="26" t="str">
        <f t="shared" ref="G20:G51" si="2">IF(F20="","",F20*0.05+F20*0.005*E20)</f>
        <v/>
      </c>
      <c r="H20" s="27" t="str">
        <f t="shared" ref="H20:H51" si="3">IF(F20="","",F20+G20)</f>
        <v/>
      </c>
    </row>
    <row r="21" spans="2:8" ht="16.5" customHeight="1" x14ac:dyDescent="0.2">
      <c r="B21" s="42"/>
      <c r="C21" s="40"/>
      <c r="D21" s="42"/>
      <c r="E21" s="42"/>
      <c r="F21" s="41"/>
      <c r="G21" s="26" t="str">
        <f t="shared" si="2"/>
        <v/>
      </c>
      <c r="H21" s="27" t="str">
        <f t="shared" si="3"/>
        <v/>
      </c>
    </row>
    <row r="22" spans="2:8" ht="16.5" customHeight="1" x14ac:dyDescent="0.2">
      <c r="B22" s="39"/>
      <c r="C22" s="40"/>
      <c r="D22" s="39"/>
      <c r="E22" s="39"/>
      <c r="F22" s="41"/>
      <c r="G22" s="26" t="str">
        <f t="shared" si="2"/>
        <v/>
      </c>
      <c r="H22" s="27" t="str">
        <f t="shared" si="3"/>
        <v/>
      </c>
    </row>
    <row r="23" spans="2:8" ht="16.5" customHeight="1" x14ac:dyDescent="0.2">
      <c r="B23" s="42"/>
      <c r="C23" s="40"/>
      <c r="D23" s="42"/>
      <c r="E23" s="42"/>
      <c r="F23" s="41"/>
      <c r="G23" s="26" t="str">
        <f t="shared" si="2"/>
        <v/>
      </c>
      <c r="H23" s="27" t="str">
        <f t="shared" si="3"/>
        <v/>
      </c>
    </row>
    <row r="24" spans="2:8" ht="16.5" customHeight="1" x14ac:dyDescent="0.2">
      <c r="B24" s="39"/>
      <c r="C24" s="40"/>
      <c r="D24" s="39"/>
      <c r="E24" s="39"/>
      <c r="F24" s="41"/>
      <c r="G24" s="26" t="str">
        <f t="shared" si="2"/>
        <v/>
      </c>
      <c r="H24" s="27" t="str">
        <f t="shared" si="3"/>
        <v/>
      </c>
    </row>
    <row r="25" spans="2:8" ht="16.5" customHeight="1" x14ac:dyDescent="0.2">
      <c r="B25" s="42"/>
      <c r="C25" s="40"/>
      <c r="D25" s="42"/>
      <c r="E25" s="42"/>
      <c r="F25" s="41"/>
      <c r="G25" s="26" t="str">
        <f t="shared" si="2"/>
        <v/>
      </c>
      <c r="H25" s="27" t="str">
        <f t="shared" si="3"/>
        <v/>
      </c>
    </row>
    <row r="26" spans="2:8" ht="16.5" customHeight="1" x14ac:dyDescent="0.2">
      <c r="B26" s="39"/>
      <c r="C26" s="40"/>
      <c r="D26" s="39"/>
      <c r="E26" s="39"/>
      <c r="F26" s="41"/>
      <c r="G26" s="26" t="str">
        <f t="shared" si="2"/>
        <v/>
      </c>
      <c r="H26" s="27" t="str">
        <f t="shared" si="3"/>
        <v/>
      </c>
    </row>
    <row r="27" spans="2:8" ht="16.5" customHeight="1" x14ac:dyDescent="0.2">
      <c r="B27" s="42"/>
      <c r="C27" s="40"/>
      <c r="D27" s="42"/>
      <c r="E27" s="42"/>
      <c r="F27" s="41"/>
      <c r="G27" s="26" t="str">
        <f t="shared" si="2"/>
        <v/>
      </c>
      <c r="H27" s="27" t="str">
        <f t="shared" si="3"/>
        <v/>
      </c>
    </row>
    <row r="28" spans="2:8" ht="16.5" customHeight="1" x14ac:dyDescent="0.2">
      <c r="B28" s="39"/>
      <c r="C28" s="40"/>
      <c r="D28" s="39"/>
      <c r="E28" s="39"/>
      <c r="F28" s="41"/>
      <c r="G28" s="26" t="str">
        <f t="shared" si="2"/>
        <v/>
      </c>
      <c r="H28" s="27" t="str">
        <f t="shared" si="3"/>
        <v/>
      </c>
    </row>
    <row r="29" spans="2:8" ht="16.5" customHeight="1" x14ac:dyDescent="0.2">
      <c r="B29" s="42"/>
      <c r="C29" s="40"/>
      <c r="D29" s="42"/>
      <c r="E29" s="42"/>
      <c r="F29" s="41"/>
      <c r="G29" s="26" t="str">
        <f t="shared" si="2"/>
        <v/>
      </c>
      <c r="H29" s="27" t="str">
        <f t="shared" si="3"/>
        <v/>
      </c>
    </row>
    <row r="30" spans="2:8" ht="16.5" customHeight="1" x14ac:dyDescent="0.2">
      <c r="B30" s="39"/>
      <c r="C30" s="40"/>
      <c r="D30" s="39"/>
      <c r="E30" s="39"/>
      <c r="F30" s="41"/>
      <c r="G30" s="26" t="str">
        <f t="shared" si="2"/>
        <v/>
      </c>
      <c r="H30" s="27" t="str">
        <f t="shared" si="3"/>
        <v/>
      </c>
    </row>
    <row r="31" spans="2:8" ht="16.5" customHeight="1" x14ac:dyDescent="0.2">
      <c r="B31" s="42"/>
      <c r="C31" s="40"/>
      <c r="D31" s="42"/>
      <c r="E31" s="42"/>
      <c r="F31" s="41"/>
      <c r="G31" s="26" t="str">
        <f t="shared" si="2"/>
        <v/>
      </c>
      <c r="H31" s="27" t="str">
        <f t="shared" si="3"/>
        <v/>
      </c>
    </row>
    <row r="32" spans="2:8" ht="16.5" customHeight="1" x14ac:dyDescent="0.2">
      <c r="B32" s="39"/>
      <c r="C32" s="40"/>
      <c r="D32" s="39"/>
      <c r="E32" s="39"/>
      <c r="F32" s="41"/>
      <c r="G32" s="26" t="str">
        <f t="shared" si="2"/>
        <v/>
      </c>
      <c r="H32" s="27" t="str">
        <f t="shared" si="3"/>
        <v/>
      </c>
    </row>
    <row r="33" spans="2:8" ht="16.5" customHeight="1" x14ac:dyDescent="0.2">
      <c r="B33" s="42"/>
      <c r="C33" s="40"/>
      <c r="D33" s="42"/>
      <c r="E33" s="42"/>
      <c r="F33" s="41"/>
      <c r="G33" s="26" t="str">
        <f t="shared" si="2"/>
        <v/>
      </c>
      <c r="H33" s="27" t="str">
        <f t="shared" si="3"/>
        <v/>
      </c>
    </row>
    <row r="34" spans="2:8" ht="16.5" customHeight="1" x14ac:dyDescent="0.2">
      <c r="B34" s="39"/>
      <c r="C34" s="40"/>
      <c r="D34" s="39"/>
      <c r="E34" s="39"/>
      <c r="F34" s="41"/>
      <c r="G34" s="26" t="str">
        <f t="shared" si="2"/>
        <v/>
      </c>
      <c r="H34" s="27" t="str">
        <f t="shared" si="3"/>
        <v/>
      </c>
    </row>
    <row r="35" spans="2:8" ht="16.5" customHeight="1" x14ac:dyDescent="0.2">
      <c r="B35" s="42"/>
      <c r="C35" s="40"/>
      <c r="D35" s="42"/>
      <c r="E35" s="42"/>
      <c r="F35" s="41"/>
      <c r="G35" s="26" t="str">
        <f t="shared" si="2"/>
        <v/>
      </c>
      <c r="H35" s="27" t="str">
        <f t="shared" si="3"/>
        <v/>
      </c>
    </row>
    <row r="36" spans="2:8" ht="16.5" customHeight="1" x14ac:dyDescent="0.2">
      <c r="B36" s="39"/>
      <c r="C36" s="40"/>
      <c r="D36" s="39"/>
      <c r="E36" s="39"/>
      <c r="F36" s="41"/>
      <c r="G36" s="26" t="str">
        <f t="shared" si="2"/>
        <v/>
      </c>
      <c r="H36" s="27" t="str">
        <f t="shared" si="3"/>
        <v/>
      </c>
    </row>
    <row r="37" spans="2:8" ht="16.5" customHeight="1" x14ac:dyDescent="0.2">
      <c r="B37" s="42"/>
      <c r="C37" s="40"/>
      <c r="D37" s="42"/>
      <c r="E37" s="42"/>
      <c r="F37" s="41"/>
      <c r="G37" s="26" t="str">
        <f t="shared" si="2"/>
        <v/>
      </c>
      <c r="H37" s="27" t="str">
        <f t="shared" si="3"/>
        <v/>
      </c>
    </row>
    <row r="38" spans="2:8" ht="16.5" customHeight="1" x14ac:dyDescent="0.2">
      <c r="B38" s="39"/>
      <c r="C38" s="40"/>
      <c r="D38" s="39"/>
      <c r="E38" s="39"/>
      <c r="F38" s="41"/>
      <c r="G38" s="26" t="str">
        <f t="shared" si="2"/>
        <v/>
      </c>
      <c r="H38" s="27" t="str">
        <f t="shared" si="3"/>
        <v/>
      </c>
    </row>
    <row r="39" spans="2:8" ht="16.5" customHeight="1" x14ac:dyDescent="0.2">
      <c r="B39" s="42"/>
      <c r="C39" s="40"/>
      <c r="D39" s="42"/>
      <c r="E39" s="42"/>
      <c r="F39" s="41"/>
      <c r="G39" s="26" t="str">
        <f t="shared" si="2"/>
        <v/>
      </c>
      <c r="H39" s="27" t="str">
        <f t="shared" si="3"/>
        <v/>
      </c>
    </row>
    <row r="40" spans="2:8" ht="16.5" customHeight="1" x14ac:dyDescent="0.2">
      <c r="B40" s="39"/>
      <c r="C40" s="40"/>
      <c r="D40" s="39"/>
      <c r="E40" s="39"/>
      <c r="F40" s="41"/>
      <c r="G40" s="26" t="str">
        <f t="shared" si="2"/>
        <v/>
      </c>
      <c r="H40" s="27" t="str">
        <f t="shared" si="3"/>
        <v/>
      </c>
    </row>
    <row r="41" spans="2:8" ht="16.5" customHeight="1" x14ac:dyDescent="0.2">
      <c r="B41" s="42"/>
      <c r="C41" s="40"/>
      <c r="D41" s="42"/>
      <c r="E41" s="42"/>
      <c r="F41" s="41"/>
      <c r="G41" s="26" t="str">
        <f t="shared" si="2"/>
        <v/>
      </c>
      <c r="H41" s="27" t="str">
        <f t="shared" si="3"/>
        <v/>
      </c>
    </row>
    <row r="42" spans="2:8" ht="16.5" customHeight="1" x14ac:dyDescent="0.2">
      <c r="B42" s="39"/>
      <c r="C42" s="40"/>
      <c r="D42" s="39"/>
      <c r="E42" s="39"/>
      <c r="F42" s="41"/>
      <c r="G42" s="26" t="str">
        <f t="shared" si="2"/>
        <v/>
      </c>
      <c r="H42" s="27" t="str">
        <f t="shared" si="3"/>
        <v/>
      </c>
    </row>
    <row r="43" spans="2:8" ht="16.5" customHeight="1" x14ac:dyDescent="0.2">
      <c r="B43" s="42"/>
      <c r="C43" s="40"/>
      <c r="D43" s="42"/>
      <c r="E43" s="42"/>
      <c r="F43" s="41"/>
      <c r="G43" s="26" t="str">
        <f t="shared" si="2"/>
        <v/>
      </c>
      <c r="H43" s="27" t="str">
        <f t="shared" si="3"/>
        <v/>
      </c>
    </row>
    <row r="44" spans="2:8" ht="16.5" customHeight="1" x14ac:dyDescent="0.2">
      <c r="B44" s="39"/>
      <c r="C44" s="40"/>
      <c r="D44" s="39"/>
      <c r="E44" s="39"/>
      <c r="F44" s="41"/>
      <c r="G44" s="26" t="str">
        <f t="shared" si="2"/>
        <v/>
      </c>
      <c r="H44" s="27" t="str">
        <f t="shared" si="3"/>
        <v/>
      </c>
    </row>
    <row r="45" spans="2:8" ht="16.5" customHeight="1" x14ac:dyDescent="0.2">
      <c r="B45" s="42"/>
      <c r="C45" s="40"/>
      <c r="D45" s="42"/>
      <c r="E45" s="42"/>
      <c r="F45" s="41"/>
      <c r="G45" s="26" t="str">
        <f t="shared" si="2"/>
        <v/>
      </c>
      <c r="H45" s="27" t="str">
        <f t="shared" si="3"/>
        <v/>
      </c>
    </row>
    <row r="46" spans="2:8" ht="16.5" customHeight="1" x14ac:dyDescent="0.2">
      <c r="B46" s="39"/>
      <c r="C46" s="40"/>
      <c r="D46" s="39"/>
      <c r="E46" s="39"/>
      <c r="F46" s="41"/>
      <c r="G46" s="26" t="str">
        <f t="shared" si="2"/>
        <v/>
      </c>
      <c r="H46" s="27" t="str">
        <f t="shared" si="3"/>
        <v/>
      </c>
    </row>
    <row r="47" spans="2:8" ht="16.5" customHeight="1" x14ac:dyDescent="0.2">
      <c r="B47" s="42"/>
      <c r="C47" s="40"/>
      <c r="D47" s="42"/>
      <c r="E47" s="42"/>
      <c r="F47" s="41"/>
      <c r="G47" s="26" t="str">
        <f t="shared" si="2"/>
        <v/>
      </c>
      <c r="H47" s="27" t="str">
        <f t="shared" si="3"/>
        <v/>
      </c>
    </row>
    <row r="48" spans="2:8" ht="16.5" customHeight="1" x14ac:dyDescent="0.2">
      <c r="B48" s="39"/>
      <c r="C48" s="40"/>
      <c r="D48" s="39"/>
      <c r="E48" s="39"/>
      <c r="F48" s="41"/>
      <c r="G48" s="26" t="str">
        <f t="shared" si="2"/>
        <v/>
      </c>
      <c r="H48" s="27" t="str">
        <f t="shared" si="3"/>
        <v/>
      </c>
    </row>
    <row r="49" spans="2:8" ht="16.5" customHeight="1" x14ac:dyDescent="0.2">
      <c r="B49" s="42"/>
      <c r="C49" s="40"/>
      <c r="D49" s="42"/>
      <c r="E49" s="42"/>
      <c r="F49" s="41"/>
      <c r="G49" s="26" t="str">
        <f t="shared" si="2"/>
        <v/>
      </c>
      <c r="H49" s="27" t="str">
        <f t="shared" si="3"/>
        <v/>
      </c>
    </row>
    <row r="50" spans="2:8" ht="16.5" customHeight="1" x14ac:dyDescent="0.2">
      <c r="B50" s="39"/>
      <c r="C50" s="40"/>
      <c r="D50" s="39"/>
      <c r="E50" s="39"/>
      <c r="F50" s="41"/>
      <c r="G50" s="26" t="str">
        <f t="shared" si="2"/>
        <v/>
      </c>
      <c r="H50" s="27" t="str">
        <f t="shared" si="3"/>
        <v/>
      </c>
    </row>
    <row r="51" spans="2:8" ht="16.5" customHeight="1" x14ac:dyDescent="0.2">
      <c r="B51" s="42"/>
      <c r="C51" s="40"/>
      <c r="D51" s="42"/>
      <c r="E51" s="42"/>
      <c r="F51" s="41"/>
      <c r="G51" s="26" t="str">
        <f t="shared" si="2"/>
        <v/>
      </c>
      <c r="H51" s="27" t="str">
        <f t="shared" si="3"/>
        <v/>
      </c>
    </row>
    <row r="52" spans="2:8" ht="16.5" customHeight="1" x14ac:dyDescent="0.2">
      <c r="B52" s="39"/>
      <c r="C52" s="40"/>
      <c r="D52" s="39"/>
      <c r="E52" s="39"/>
      <c r="F52" s="41"/>
      <c r="G52" s="26" t="str">
        <f t="shared" ref="G52:G83" si="4">IF(F52="","",F52*0.05+F52*0.005*E52)</f>
        <v/>
      </c>
      <c r="H52" s="27" t="str">
        <f t="shared" ref="H52:H83" si="5">IF(F52="","",F52+G52)</f>
        <v/>
      </c>
    </row>
    <row r="53" spans="2:8" ht="16.5" customHeight="1" x14ac:dyDescent="0.2">
      <c r="B53" s="42"/>
      <c r="C53" s="40"/>
      <c r="D53" s="42"/>
      <c r="E53" s="42"/>
      <c r="F53" s="41"/>
      <c r="G53" s="26" t="str">
        <f t="shared" si="4"/>
        <v/>
      </c>
      <c r="H53" s="27" t="str">
        <f t="shared" si="5"/>
        <v/>
      </c>
    </row>
    <row r="54" spans="2:8" ht="16.5" customHeight="1" x14ac:dyDescent="0.2">
      <c r="B54" s="39"/>
      <c r="C54" s="40"/>
      <c r="D54" s="39"/>
      <c r="E54" s="39"/>
      <c r="F54" s="41"/>
      <c r="G54" s="26" t="str">
        <f t="shared" si="4"/>
        <v/>
      </c>
      <c r="H54" s="27" t="str">
        <f t="shared" si="5"/>
        <v/>
      </c>
    </row>
    <row r="55" spans="2:8" ht="16.5" customHeight="1" x14ac:dyDescent="0.2">
      <c r="B55" s="42"/>
      <c r="C55" s="40"/>
      <c r="D55" s="42"/>
      <c r="E55" s="42"/>
      <c r="F55" s="41"/>
      <c r="G55" s="26" t="str">
        <f t="shared" si="4"/>
        <v/>
      </c>
      <c r="H55" s="27" t="str">
        <f t="shared" si="5"/>
        <v/>
      </c>
    </row>
    <row r="56" spans="2:8" ht="16.5" customHeight="1" x14ac:dyDescent="0.2">
      <c r="B56" s="39"/>
      <c r="C56" s="40"/>
      <c r="D56" s="39"/>
      <c r="E56" s="39"/>
      <c r="F56" s="41"/>
      <c r="G56" s="26" t="str">
        <f t="shared" si="4"/>
        <v/>
      </c>
      <c r="H56" s="27" t="str">
        <f t="shared" si="5"/>
        <v/>
      </c>
    </row>
    <row r="57" spans="2:8" ht="16.5" customHeight="1" x14ac:dyDescent="0.2">
      <c r="B57" s="42"/>
      <c r="C57" s="40"/>
      <c r="D57" s="42"/>
      <c r="E57" s="42"/>
      <c r="F57" s="41"/>
      <c r="G57" s="26" t="str">
        <f t="shared" si="4"/>
        <v/>
      </c>
      <c r="H57" s="27" t="str">
        <f t="shared" si="5"/>
        <v/>
      </c>
    </row>
    <row r="58" spans="2:8" ht="16.5" customHeight="1" x14ac:dyDescent="0.2">
      <c r="B58" s="39"/>
      <c r="C58" s="40"/>
      <c r="D58" s="39"/>
      <c r="E58" s="39"/>
      <c r="F58" s="41"/>
      <c r="G58" s="26" t="str">
        <f t="shared" si="4"/>
        <v/>
      </c>
      <c r="H58" s="27" t="str">
        <f t="shared" si="5"/>
        <v/>
      </c>
    </row>
    <row r="59" spans="2:8" ht="16.5" customHeight="1" x14ac:dyDescent="0.2">
      <c r="B59" s="42"/>
      <c r="C59" s="40"/>
      <c r="D59" s="42"/>
      <c r="E59" s="42"/>
      <c r="F59" s="41"/>
      <c r="G59" s="26" t="str">
        <f t="shared" si="4"/>
        <v/>
      </c>
      <c r="H59" s="27" t="str">
        <f t="shared" si="5"/>
        <v/>
      </c>
    </row>
    <row r="60" spans="2:8" ht="16.5" customHeight="1" x14ac:dyDescent="0.2">
      <c r="B60" s="39"/>
      <c r="C60" s="40"/>
      <c r="D60" s="39"/>
      <c r="E60" s="39"/>
      <c r="F60" s="41"/>
      <c r="G60" s="26" t="str">
        <f t="shared" si="4"/>
        <v/>
      </c>
      <c r="H60" s="27" t="str">
        <f t="shared" si="5"/>
        <v/>
      </c>
    </row>
    <row r="61" spans="2:8" ht="16.5" customHeight="1" x14ac:dyDescent="0.2">
      <c r="B61" s="42"/>
      <c r="C61" s="40"/>
      <c r="D61" s="42"/>
      <c r="E61" s="42"/>
      <c r="F61" s="41"/>
      <c r="G61" s="26" t="str">
        <f t="shared" si="4"/>
        <v/>
      </c>
      <c r="H61" s="27" t="str">
        <f t="shared" si="5"/>
        <v/>
      </c>
    </row>
    <row r="62" spans="2:8" ht="16.5" customHeight="1" x14ac:dyDescent="0.2">
      <c r="B62" s="39"/>
      <c r="C62" s="40"/>
      <c r="D62" s="39"/>
      <c r="E62" s="39"/>
      <c r="F62" s="41"/>
      <c r="G62" s="26" t="str">
        <f t="shared" si="4"/>
        <v/>
      </c>
      <c r="H62" s="27" t="str">
        <f t="shared" si="5"/>
        <v/>
      </c>
    </row>
    <row r="63" spans="2:8" ht="16.5" customHeight="1" x14ac:dyDescent="0.2">
      <c r="B63" s="42"/>
      <c r="C63" s="40"/>
      <c r="D63" s="42"/>
      <c r="E63" s="42"/>
      <c r="F63" s="41"/>
      <c r="G63" s="26" t="str">
        <f t="shared" si="4"/>
        <v/>
      </c>
      <c r="H63" s="27" t="str">
        <f t="shared" si="5"/>
        <v/>
      </c>
    </row>
    <row r="64" spans="2:8" ht="16.5" customHeight="1" x14ac:dyDescent="0.2">
      <c r="B64" s="39"/>
      <c r="C64" s="40"/>
      <c r="D64" s="39"/>
      <c r="E64" s="39"/>
      <c r="F64" s="41"/>
      <c r="G64" s="26" t="str">
        <f t="shared" si="4"/>
        <v/>
      </c>
      <c r="H64" s="27" t="str">
        <f t="shared" si="5"/>
        <v/>
      </c>
    </row>
    <row r="65" spans="2:8" ht="16.5" customHeight="1" x14ac:dyDescent="0.2">
      <c r="B65" s="42"/>
      <c r="C65" s="40"/>
      <c r="D65" s="42"/>
      <c r="E65" s="42"/>
      <c r="F65" s="41"/>
      <c r="G65" s="26" t="str">
        <f t="shared" si="4"/>
        <v/>
      </c>
      <c r="H65" s="27" t="str">
        <f t="shared" si="5"/>
        <v/>
      </c>
    </row>
    <row r="66" spans="2:8" ht="16.5" customHeight="1" x14ac:dyDescent="0.2">
      <c r="B66" s="39"/>
      <c r="C66" s="40"/>
      <c r="D66" s="39"/>
      <c r="E66" s="39"/>
      <c r="F66" s="41"/>
      <c r="G66" s="26" t="str">
        <f t="shared" si="4"/>
        <v/>
      </c>
      <c r="H66" s="27" t="str">
        <f t="shared" si="5"/>
        <v/>
      </c>
    </row>
    <row r="67" spans="2:8" ht="16.5" customHeight="1" x14ac:dyDescent="0.2">
      <c r="B67" s="42"/>
      <c r="C67" s="40"/>
      <c r="D67" s="42"/>
      <c r="E67" s="42"/>
      <c r="F67" s="41"/>
      <c r="G67" s="26" t="str">
        <f t="shared" si="4"/>
        <v/>
      </c>
      <c r="H67" s="27" t="str">
        <f t="shared" si="5"/>
        <v/>
      </c>
    </row>
    <row r="68" spans="2:8" ht="16.5" customHeight="1" x14ac:dyDescent="0.2">
      <c r="B68" s="39"/>
      <c r="C68" s="40"/>
      <c r="D68" s="39"/>
      <c r="E68" s="39"/>
      <c r="F68" s="41"/>
      <c r="G68" s="26" t="str">
        <f t="shared" si="4"/>
        <v/>
      </c>
      <c r="H68" s="27" t="str">
        <f t="shared" si="5"/>
        <v/>
      </c>
    </row>
    <row r="69" spans="2:8" ht="16.5" customHeight="1" x14ac:dyDescent="0.2">
      <c r="B69" s="42"/>
      <c r="C69" s="40"/>
      <c r="D69" s="42"/>
      <c r="E69" s="42"/>
      <c r="F69" s="41"/>
      <c r="G69" s="26" t="str">
        <f t="shared" si="4"/>
        <v/>
      </c>
      <c r="H69" s="27" t="str">
        <f t="shared" si="5"/>
        <v/>
      </c>
    </row>
    <row r="70" spans="2:8" ht="16.5" customHeight="1" x14ac:dyDescent="0.2">
      <c r="B70" s="39"/>
      <c r="C70" s="40"/>
      <c r="D70" s="39"/>
      <c r="E70" s="39"/>
      <c r="F70" s="41"/>
      <c r="G70" s="26" t="str">
        <f t="shared" si="4"/>
        <v/>
      </c>
      <c r="H70" s="27" t="str">
        <f t="shared" si="5"/>
        <v/>
      </c>
    </row>
    <row r="71" spans="2:8" ht="16.5" customHeight="1" x14ac:dyDescent="0.2">
      <c r="B71" s="42"/>
      <c r="C71" s="40"/>
      <c r="D71" s="42"/>
      <c r="E71" s="42"/>
      <c r="F71" s="41"/>
      <c r="G71" s="26" t="str">
        <f t="shared" si="4"/>
        <v/>
      </c>
      <c r="H71" s="27" t="str">
        <f t="shared" si="5"/>
        <v/>
      </c>
    </row>
    <row r="72" spans="2:8" ht="16.5" customHeight="1" x14ac:dyDescent="0.2">
      <c r="B72" s="39"/>
      <c r="C72" s="40"/>
      <c r="D72" s="39"/>
      <c r="E72" s="39"/>
      <c r="F72" s="41"/>
      <c r="G72" s="26" t="str">
        <f t="shared" si="4"/>
        <v/>
      </c>
      <c r="H72" s="27" t="str">
        <f t="shared" si="5"/>
        <v/>
      </c>
    </row>
    <row r="73" spans="2:8" ht="16.5" customHeight="1" x14ac:dyDescent="0.2">
      <c r="B73" s="42"/>
      <c r="C73" s="40"/>
      <c r="D73" s="42"/>
      <c r="E73" s="42"/>
      <c r="F73" s="41"/>
      <c r="G73" s="26" t="str">
        <f t="shared" si="4"/>
        <v/>
      </c>
      <c r="H73" s="27" t="str">
        <f t="shared" si="5"/>
        <v/>
      </c>
    </row>
    <row r="74" spans="2:8" ht="16.5" customHeight="1" x14ac:dyDescent="0.2">
      <c r="B74" s="39"/>
      <c r="C74" s="40"/>
      <c r="D74" s="39"/>
      <c r="E74" s="39"/>
      <c r="F74" s="41"/>
      <c r="G74" s="26" t="str">
        <f t="shared" si="4"/>
        <v/>
      </c>
      <c r="H74" s="27" t="str">
        <f t="shared" si="5"/>
        <v/>
      </c>
    </row>
    <row r="75" spans="2:8" ht="16.5" customHeight="1" x14ac:dyDescent="0.2">
      <c r="B75" s="42"/>
      <c r="C75" s="40"/>
      <c r="D75" s="42"/>
      <c r="E75" s="42"/>
      <c r="F75" s="41"/>
      <c r="G75" s="26" t="str">
        <f t="shared" si="4"/>
        <v/>
      </c>
      <c r="H75" s="27" t="str">
        <f t="shared" si="5"/>
        <v/>
      </c>
    </row>
    <row r="76" spans="2:8" ht="16.5" customHeight="1" x14ac:dyDescent="0.2">
      <c r="B76" s="39"/>
      <c r="C76" s="40"/>
      <c r="D76" s="39"/>
      <c r="E76" s="39"/>
      <c r="F76" s="41"/>
      <c r="G76" s="26" t="str">
        <f t="shared" si="4"/>
        <v/>
      </c>
      <c r="H76" s="27" t="str">
        <f t="shared" si="5"/>
        <v/>
      </c>
    </row>
    <row r="77" spans="2:8" ht="16.5" customHeight="1" x14ac:dyDescent="0.2">
      <c r="B77" s="42"/>
      <c r="C77" s="40"/>
      <c r="D77" s="42"/>
      <c r="E77" s="42"/>
      <c r="F77" s="41"/>
      <c r="G77" s="26" t="str">
        <f t="shared" si="4"/>
        <v/>
      </c>
      <c r="H77" s="27" t="str">
        <f t="shared" si="5"/>
        <v/>
      </c>
    </row>
    <row r="78" spans="2:8" ht="16.5" customHeight="1" x14ac:dyDescent="0.2">
      <c r="B78" s="39"/>
      <c r="C78" s="40"/>
      <c r="D78" s="39"/>
      <c r="E78" s="39"/>
      <c r="F78" s="41"/>
      <c r="G78" s="26" t="str">
        <f t="shared" si="4"/>
        <v/>
      </c>
      <c r="H78" s="27" t="str">
        <f t="shared" si="5"/>
        <v/>
      </c>
    </row>
    <row r="79" spans="2:8" ht="16.5" customHeight="1" x14ac:dyDescent="0.2">
      <c r="B79" s="42"/>
      <c r="C79" s="40"/>
      <c r="D79" s="42"/>
      <c r="E79" s="42"/>
      <c r="F79" s="41"/>
      <c r="G79" s="26" t="str">
        <f t="shared" si="4"/>
        <v/>
      </c>
      <c r="H79" s="27" t="str">
        <f t="shared" si="5"/>
        <v/>
      </c>
    </row>
    <row r="80" spans="2:8" ht="16.5" customHeight="1" x14ac:dyDescent="0.2">
      <c r="B80" s="39"/>
      <c r="C80" s="40"/>
      <c r="D80" s="39"/>
      <c r="E80" s="39"/>
      <c r="F80" s="41"/>
      <c r="G80" s="26" t="str">
        <f t="shared" si="4"/>
        <v/>
      </c>
      <c r="H80" s="27" t="str">
        <f t="shared" si="5"/>
        <v/>
      </c>
    </row>
    <row r="81" spans="2:8" ht="16.5" customHeight="1" x14ac:dyDescent="0.2">
      <c r="B81" s="42"/>
      <c r="C81" s="40"/>
      <c r="D81" s="42"/>
      <c r="E81" s="42"/>
      <c r="F81" s="41"/>
      <c r="G81" s="26" t="str">
        <f t="shared" si="4"/>
        <v/>
      </c>
      <c r="H81" s="27" t="str">
        <f t="shared" si="5"/>
        <v/>
      </c>
    </row>
    <row r="82" spans="2:8" ht="16.5" customHeight="1" x14ac:dyDescent="0.2">
      <c r="B82" s="39"/>
      <c r="C82" s="40"/>
      <c r="D82" s="39"/>
      <c r="E82" s="39"/>
      <c r="F82" s="41"/>
      <c r="G82" s="26" t="str">
        <f t="shared" si="4"/>
        <v/>
      </c>
      <c r="H82" s="27" t="str">
        <f t="shared" si="5"/>
        <v/>
      </c>
    </row>
    <row r="83" spans="2:8" ht="16.5" customHeight="1" x14ac:dyDescent="0.2">
      <c r="B83" s="42"/>
      <c r="C83" s="40"/>
      <c r="D83" s="42"/>
      <c r="E83" s="42"/>
      <c r="F83" s="41"/>
      <c r="G83" s="26" t="str">
        <f t="shared" si="4"/>
        <v/>
      </c>
      <c r="H83" s="27" t="str">
        <f t="shared" si="5"/>
        <v/>
      </c>
    </row>
    <row r="84" spans="2:8" ht="16.5" customHeight="1" x14ac:dyDescent="0.2">
      <c r="B84" s="39"/>
      <c r="C84" s="40"/>
      <c r="D84" s="39"/>
      <c r="E84" s="39"/>
      <c r="F84" s="41"/>
      <c r="G84" s="26" t="str">
        <f t="shared" ref="G84:G115" si="6">IF(F84="","",F84*0.05+F84*0.005*E84)</f>
        <v/>
      </c>
      <c r="H84" s="27" t="str">
        <f t="shared" ref="H84:H115" si="7">IF(F84="","",F84+G84)</f>
        <v/>
      </c>
    </row>
    <row r="85" spans="2:8" ht="16.5" customHeight="1" x14ac:dyDescent="0.2">
      <c r="B85" s="42"/>
      <c r="C85" s="40"/>
      <c r="D85" s="42"/>
      <c r="E85" s="42"/>
      <c r="F85" s="41"/>
      <c r="G85" s="26" t="str">
        <f t="shared" si="6"/>
        <v/>
      </c>
      <c r="H85" s="27" t="str">
        <f t="shared" si="7"/>
        <v/>
      </c>
    </row>
    <row r="86" spans="2:8" ht="16.5" customHeight="1" x14ac:dyDescent="0.2">
      <c r="B86" s="39"/>
      <c r="C86" s="40"/>
      <c r="D86" s="39"/>
      <c r="E86" s="39"/>
      <c r="F86" s="41"/>
      <c r="G86" s="26" t="str">
        <f t="shared" si="6"/>
        <v/>
      </c>
      <c r="H86" s="27" t="str">
        <f t="shared" si="7"/>
        <v/>
      </c>
    </row>
    <row r="87" spans="2:8" ht="16.5" customHeight="1" x14ac:dyDescent="0.2">
      <c r="B87" s="42"/>
      <c r="C87" s="40"/>
      <c r="D87" s="42"/>
      <c r="E87" s="42"/>
      <c r="F87" s="41"/>
      <c r="G87" s="26" t="str">
        <f t="shared" si="6"/>
        <v/>
      </c>
      <c r="H87" s="27" t="str">
        <f t="shared" si="7"/>
        <v/>
      </c>
    </row>
    <row r="88" spans="2:8" ht="16.5" customHeight="1" x14ac:dyDescent="0.2">
      <c r="B88" s="39"/>
      <c r="C88" s="40"/>
      <c r="D88" s="39"/>
      <c r="E88" s="39"/>
      <c r="F88" s="41"/>
      <c r="G88" s="26" t="str">
        <f t="shared" si="6"/>
        <v/>
      </c>
      <c r="H88" s="27" t="str">
        <f t="shared" si="7"/>
        <v/>
      </c>
    </row>
    <row r="89" spans="2:8" ht="16.5" customHeight="1" x14ac:dyDescent="0.2">
      <c r="B89" s="42"/>
      <c r="C89" s="40"/>
      <c r="D89" s="42"/>
      <c r="E89" s="42"/>
      <c r="F89" s="41"/>
      <c r="G89" s="26" t="str">
        <f t="shared" si="6"/>
        <v/>
      </c>
      <c r="H89" s="27" t="str">
        <f t="shared" si="7"/>
        <v/>
      </c>
    </row>
    <row r="90" spans="2:8" ht="16.5" customHeight="1" x14ac:dyDescent="0.2">
      <c r="B90" s="39"/>
      <c r="C90" s="40"/>
      <c r="D90" s="39"/>
      <c r="E90" s="39"/>
      <c r="F90" s="41"/>
      <c r="G90" s="26" t="str">
        <f t="shared" si="6"/>
        <v/>
      </c>
      <c r="H90" s="27" t="str">
        <f t="shared" si="7"/>
        <v/>
      </c>
    </row>
    <row r="91" spans="2:8" ht="16.5" customHeight="1" x14ac:dyDescent="0.2">
      <c r="B91" s="42"/>
      <c r="C91" s="40"/>
      <c r="D91" s="42"/>
      <c r="E91" s="42"/>
      <c r="F91" s="41"/>
      <c r="G91" s="26" t="str">
        <f t="shared" si="6"/>
        <v/>
      </c>
      <c r="H91" s="27" t="str">
        <f t="shared" si="7"/>
        <v/>
      </c>
    </row>
    <row r="92" spans="2:8" ht="16.5" customHeight="1" x14ac:dyDescent="0.2">
      <c r="B92" s="39"/>
      <c r="C92" s="40"/>
      <c r="D92" s="39"/>
      <c r="E92" s="39"/>
      <c r="F92" s="41"/>
      <c r="G92" s="26" t="str">
        <f t="shared" si="6"/>
        <v/>
      </c>
      <c r="H92" s="27" t="str">
        <f t="shared" si="7"/>
        <v/>
      </c>
    </row>
    <row r="93" spans="2:8" ht="16.5" customHeight="1" x14ac:dyDescent="0.2">
      <c r="B93" s="42"/>
      <c r="C93" s="40"/>
      <c r="D93" s="42"/>
      <c r="E93" s="42"/>
      <c r="F93" s="41"/>
      <c r="G93" s="26" t="str">
        <f t="shared" si="6"/>
        <v/>
      </c>
      <c r="H93" s="27" t="str">
        <f t="shared" si="7"/>
        <v/>
      </c>
    </row>
    <row r="94" spans="2:8" ht="16.5" customHeight="1" x14ac:dyDescent="0.2">
      <c r="B94" s="39"/>
      <c r="C94" s="40"/>
      <c r="D94" s="39"/>
      <c r="E94" s="39"/>
      <c r="F94" s="41"/>
      <c r="G94" s="26" t="str">
        <f t="shared" si="6"/>
        <v/>
      </c>
      <c r="H94" s="27" t="str">
        <f t="shared" si="7"/>
        <v/>
      </c>
    </row>
    <row r="95" spans="2:8" ht="16.5" customHeight="1" x14ac:dyDescent="0.2">
      <c r="B95" s="42"/>
      <c r="C95" s="40"/>
      <c r="D95" s="42"/>
      <c r="E95" s="42"/>
      <c r="F95" s="41"/>
      <c r="G95" s="26" t="str">
        <f t="shared" si="6"/>
        <v/>
      </c>
      <c r="H95" s="27" t="str">
        <f t="shared" si="7"/>
        <v/>
      </c>
    </row>
    <row r="96" spans="2:8" ht="16.5" customHeight="1" x14ac:dyDescent="0.2">
      <c r="B96" s="39"/>
      <c r="C96" s="40"/>
      <c r="D96" s="39"/>
      <c r="E96" s="39"/>
      <c r="F96" s="41"/>
      <c r="G96" s="26" t="str">
        <f t="shared" si="6"/>
        <v/>
      </c>
      <c r="H96" s="27" t="str">
        <f t="shared" si="7"/>
        <v/>
      </c>
    </row>
    <row r="97" spans="2:8" ht="16.5" customHeight="1" x14ac:dyDescent="0.2">
      <c r="B97" s="42"/>
      <c r="C97" s="40"/>
      <c r="D97" s="42"/>
      <c r="E97" s="42"/>
      <c r="F97" s="41"/>
      <c r="G97" s="26" t="str">
        <f t="shared" si="6"/>
        <v/>
      </c>
      <c r="H97" s="27" t="str">
        <f t="shared" si="7"/>
        <v/>
      </c>
    </row>
    <row r="98" spans="2:8" ht="16.5" customHeight="1" x14ac:dyDescent="0.2">
      <c r="B98" s="39"/>
      <c r="C98" s="40"/>
      <c r="D98" s="39"/>
      <c r="E98" s="39"/>
      <c r="F98" s="41"/>
      <c r="G98" s="26" t="str">
        <f t="shared" si="6"/>
        <v/>
      </c>
      <c r="H98" s="27" t="str">
        <f t="shared" si="7"/>
        <v/>
      </c>
    </row>
    <row r="99" spans="2:8" ht="16.5" customHeight="1" x14ac:dyDescent="0.2">
      <c r="B99" s="42"/>
      <c r="C99" s="40"/>
      <c r="D99" s="42"/>
      <c r="E99" s="42"/>
      <c r="F99" s="41"/>
      <c r="G99" s="26" t="str">
        <f t="shared" si="6"/>
        <v/>
      </c>
      <c r="H99" s="27" t="str">
        <f t="shared" si="7"/>
        <v/>
      </c>
    </row>
    <row r="100" spans="2:8" ht="16.5" customHeight="1" x14ac:dyDescent="0.2">
      <c r="B100" s="39"/>
      <c r="C100" s="40"/>
      <c r="D100" s="39"/>
      <c r="E100" s="39"/>
      <c r="F100" s="41"/>
      <c r="G100" s="26" t="str">
        <f t="shared" si="6"/>
        <v/>
      </c>
      <c r="H100" s="27" t="str">
        <f t="shared" si="7"/>
        <v/>
      </c>
    </row>
    <row r="101" spans="2:8" ht="16.5" customHeight="1" x14ac:dyDescent="0.2">
      <c r="B101" s="42"/>
      <c r="C101" s="40"/>
      <c r="D101" s="42"/>
      <c r="E101" s="42"/>
      <c r="F101" s="41"/>
      <c r="G101" s="26" t="str">
        <f t="shared" si="6"/>
        <v/>
      </c>
      <c r="H101" s="27" t="str">
        <f t="shared" si="7"/>
        <v/>
      </c>
    </row>
    <row r="102" spans="2:8" ht="16.5" customHeight="1" x14ac:dyDescent="0.2">
      <c r="B102" s="39"/>
      <c r="C102" s="40"/>
      <c r="D102" s="39"/>
      <c r="E102" s="39"/>
      <c r="F102" s="41"/>
      <c r="G102" s="26" t="str">
        <f t="shared" si="6"/>
        <v/>
      </c>
      <c r="H102" s="27" t="str">
        <f t="shared" si="7"/>
        <v/>
      </c>
    </row>
    <row r="103" spans="2:8" ht="16.5" customHeight="1" x14ac:dyDescent="0.2">
      <c r="B103" s="42"/>
      <c r="C103" s="40"/>
      <c r="D103" s="42"/>
      <c r="E103" s="42"/>
      <c r="F103" s="41"/>
      <c r="G103" s="26" t="str">
        <f t="shared" si="6"/>
        <v/>
      </c>
      <c r="H103" s="27" t="str">
        <f t="shared" si="7"/>
        <v/>
      </c>
    </row>
    <row r="104" spans="2:8" ht="16.5" customHeight="1" x14ac:dyDescent="0.2">
      <c r="B104" s="39"/>
      <c r="C104" s="40"/>
      <c r="D104" s="39"/>
      <c r="E104" s="39"/>
      <c r="F104" s="41"/>
      <c r="G104" s="26" t="str">
        <f t="shared" si="6"/>
        <v/>
      </c>
      <c r="H104" s="27" t="str">
        <f t="shared" si="7"/>
        <v/>
      </c>
    </row>
    <row r="105" spans="2:8" ht="16.5" customHeight="1" x14ac:dyDescent="0.2">
      <c r="B105" s="42"/>
      <c r="C105" s="40"/>
      <c r="D105" s="42"/>
      <c r="E105" s="42"/>
      <c r="F105" s="41"/>
      <c r="G105" s="26" t="str">
        <f t="shared" si="6"/>
        <v/>
      </c>
      <c r="H105" s="27" t="str">
        <f t="shared" si="7"/>
        <v/>
      </c>
    </row>
    <row r="106" spans="2:8" ht="16.5" customHeight="1" x14ac:dyDescent="0.2">
      <c r="B106" s="39"/>
      <c r="C106" s="40"/>
      <c r="D106" s="39"/>
      <c r="E106" s="39"/>
      <c r="F106" s="41"/>
      <c r="G106" s="26" t="str">
        <f t="shared" si="6"/>
        <v/>
      </c>
      <c r="H106" s="27" t="str">
        <f t="shared" si="7"/>
        <v/>
      </c>
    </row>
    <row r="107" spans="2:8" ht="16.5" customHeight="1" x14ac:dyDescent="0.2">
      <c r="B107" s="42"/>
      <c r="C107" s="40"/>
      <c r="D107" s="42"/>
      <c r="E107" s="42"/>
      <c r="F107" s="41"/>
      <c r="G107" s="26" t="str">
        <f t="shared" si="6"/>
        <v/>
      </c>
      <c r="H107" s="27" t="str">
        <f t="shared" si="7"/>
        <v/>
      </c>
    </row>
    <row r="108" spans="2:8" ht="16.5" customHeight="1" x14ac:dyDescent="0.2">
      <c r="B108" s="39"/>
      <c r="C108" s="40"/>
      <c r="D108" s="39"/>
      <c r="E108" s="39"/>
      <c r="F108" s="41"/>
      <c r="G108" s="26" t="str">
        <f t="shared" si="6"/>
        <v/>
      </c>
      <c r="H108" s="27" t="str">
        <f t="shared" si="7"/>
        <v/>
      </c>
    </row>
    <row r="109" spans="2:8" ht="16.5" customHeight="1" x14ac:dyDescent="0.2">
      <c r="B109" s="42"/>
      <c r="C109" s="40"/>
      <c r="D109" s="42"/>
      <c r="E109" s="42"/>
      <c r="F109" s="41"/>
      <c r="G109" s="26" t="str">
        <f t="shared" si="6"/>
        <v/>
      </c>
      <c r="H109" s="27" t="str">
        <f t="shared" si="7"/>
        <v/>
      </c>
    </row>
    <row r="110" spans="2:8" ht="16.5" customHeight="1" x14ac:dyDescent="0.2">
      <c r="B110" s="39"/>
      <c r="C110" s="40"/>
      <c r="D110" s="39"/>
      <c r="E110" s="39"/>
      <c r="F110" s="41"/>
      <c r="G110" s="26" t="str">
        <f t="shared" si="6"/>
        <v/>
      </c>
      <c r="H110" s="27" t="str">
        <f t="shared" si="7"/>
        <v/>
      </c>
    </row>
    <row r="111" spans="2:8" ht="16.5" customHeight="1" x14ac:dyDescent="0.2">
      <c r="B111" s="42"/>
      <c r="C111" s="40"/>
      <c r="D111" s="42"/>
      <c r="E111" s="42"/>
      <c r="F111" s="41"/>
      <c r="G111" s="26" t="str">
        <f t="shared" si="6"/>
        <v/>
      </c>
      <c r="H111" s="27" t="str">
        <f t="shared" si="7"/>
        <v/>
      </c>
    </row>
    <row r="112" spans="2:8" ht="16.5" customHeight="1" x14ac:dyDescent="0.2">
      <c r="B112" s="39"/>
      <c r="C112" s="40"/>
      <c r="D112" s="39"/>
      <c r="E112" s="39"/>
      <c r="F112" s="41"/>
      <c r="G112" s="26" t="str">
        <f t="shared" si="6"/>
        <v/>
      </c>
      <c r="H112" s="27" t="str">
        <f t="shared" si="7"/>
        <v/>
      </c>
    </row>
    <row r="113" spans="2:8" ht="16.5" customHeight="1" x14ac:dyDescent="0.2">
      <c r="B113" s="42"/>
      <c r="C113" s="40"/>
      <c r="D113" s="42"/>
      <c r="E113" s="42"/>
      <c r="F113" s="41"/>
      <c r="G113" s="26" t="str">
        <f t="shared" si="6"/>
        <v/>
      </c>
      <c r="H113" s="27" t="str">
        <f t="shared" si="7"/>
        <v/>
      </c>
    </row>
    <row r="114" spans="2:8" ht="16.5" customHeight="1" x14ac:dyDescent="0.2">
      <c r="B114" s="39"/>
      <c r="C114" s="40"/>
      <c r="D114" s="39"/>
      <c r="E114" s="39"/>
      <c r="F114" s="41"/>
      <c r="G114" s="26" t="str">
        <f t="shared" si="6"/>
        <v/>
      </c>
      <c r="H114" s="27" t="str">
        <f t="shared" si="7"/>
        <v/>
      </c>
    </row>
    <row r="115" spans="2:8" ht="16.5" customHeight="1" x14ac:dyDescent="0.2">
      <c r="B115" s="42"/>
      <c r="C115" s="40"/>
      <c r="D115" s="42"/>
      <c r="E115" s="42"/>
      <c r="F115" s="41"/>
      <c r="G115" s="26" t="str">
        <f t="shared" si="6"/>
        <v/>
      </c>
      <c r="H115" s="27" t="str">
        <f t="shared" si="7"/>
        <v/>
      </c>
    </row>
    <row r="116" spans="2:8" ht="16.5" customHeight="1" x14ac:dyDescent="0.2">
      <c r="B116" s="39"/>
      <c r="C116" s="40"/>
      <c r="D116" s="39"/>
      <c r="E116" s="39"/>
      <c r="F116" s="41"/>
      <c r="G116" s="26" t="str">
        <f t="shared" ref="G116:G147" si="8">IF(F116="","",F116*0.05+F116*0.005*E116)</f>
        <v/>
      </c>
      <c r="H116" s="27" t="str">
        <f t="shared" ref="H116:H147" si="9">IF(F116="","",F116+G116)</f>
        <v/>
      </c>
    </row>
    <row r="117" spans="2:8" ht="16.5" customHeight="1" x14ac:dyDescent="0.2">
      <c r="B117" s="42"/>
      <c r="C117" s="40"/>
      <c r="D117" s="42"/>
      <c r="E117" s="42"/>
      <c r="F117" s="41"/>
      <c r="G117" s="26" t="str">
        <f t="shared" si="8"/>
        <v/>
      </c>
      <c r="H117" s="27" t="str">
        <f t="shared" si="9"/>
        <v/>
      </c>
    </row>
    <row r="118" spans="2:8" ht="16.5" customHeight="1" x14ac:dyDescent="0.2">
      <c r="B118" s="39"/>
      <c r="C118" s="40"/>
      <c r="D118" s="39"/>
      <c r="E118" s="39"/>
      <c r="F118" s="41"/>
      <c r="G118" s="26" t="str">
        <f t="shared" si="8"/>
        <v/>
      </c>
      <c r="H118" s="27" t="str">
        <f t="shared" si="9"/>
        <v/>
      </c>
    </row>
    <row r="119" spans="2:8" ht="16.5" customHeight="1" x14ac:dyDescent="0.2">
      <c r="B119" s="42"/>
      <c r="C119" s="40"/>
      <c r="D119" s="42"/>
      <c r="E119" s="42"/>
      <c r="F119" s="41"/>
      <c r="G119" s="26" t="str">
        <f t="shared" si="8"/>
        <v/>
      </c>
      <c r="H119" s="27" t="str">
        <f t="shared" si="9"/>
        <v/>
      </c>
    </row>
    <row r="120" spans="2:8" ht="16.5" customHeight="1" x14ac:dyDescent="0.2">
      <c r="B120" s="39"/>
      <c r="C120" s="40"/>
      <c r="D120" s="39"/>
      <c r="E120" s="39"/>
      <c r="F120" s="41"/>
      <c r="G120" s="26" t="str">
        <f t="shared" si="8"/>
        <v/>
      </c>
      <c r="H120" s="27" t="str">
        <f t="shared" si="9"/>
        <v/>
      </c>
    </row>
    <row r="121" spans="2:8" ht="16.5" customHeight="1" x14ac:dyDescent="0.2">
      <c r="B121" s="42"/>
      <c r="C121" s="40"/>
      <c r="D121" s="42"/>
      <c r="E121" s="42"/>
      <c r="F121" s="41"/>
      <c r="G121" s="26" t="str">
        <f t="shared" si="8"/>
        <v/>
      </c>
      <c r="H121" s="27" t="str">
        <f t="shared" si="9"/>
        <v/>
      </c>
    </row>
    <row r="122" spans="2:8" ht="16.5" customHeight="1" x14ac:dyDescent="0.2">
      <c r="B122" s="39"/>
      <c r="C122" s="40"/>
      <c r="D122" s="39"/>
      <c r="E122" s="39"/>
      <c r="F122" s="41"/>
      <c r="G122" s="26" t="str">
        <f t="shared" si="8"/>
        <v/>
      </c>
      <c r="H122" s="27" t="str">
        <f t="shared" si="9"/>
        <v/>
      </c>
    </row>
    <row r="123" spans="2:8" ht="16.5" customHeight="1" x14ac:dyDescent="0.2">
      <c r="B123" s="42"/>
      <c r="C123" s="40"/>
      <c r="D123" s="42"/>
      <c r="E123" s="42"/>
      <c r="F123" s="41"/>
      <c r="G123" s="26" t="str">
        <f t="shared" si="8"/>
        <v/>
      </c>
      <c r="H123" s="27" t="str">
        <f t="shared" si="9"/>
        <v/>
      </c>
    </row>
    <row r="124" spans="2:8" ht="16.5" customHeight="1" x14ac:dyDescent="0.2">
      <c r="B124" s="39"/>
      <c r="C124" s="40"/>
      <c r="D124" s="39"/>
      <c r="E124" s="39"/>
      <c r="F124" s="41"/>
      <c r="G124" s="26" t="str">
        <f t="shared" si="8"/>
        <v/>
      </c>
      <c r="H124" s="27" t="str">
        <f t="shared" si="9"/>
        <v/>
      </c>
    </row>
    <row r="125" spans="2:8" ht="16.5" customHeight="1" x14ac:dyDescent="0.2">
      <c r="B125" s="42"/>
      <c r="C125" s="40"/>
      <c r="D125" s="42"/>
      <c r="E125" s="42"/>
      <c r="F125" s="41"/>
      <c r="G125" s="26" t="str">
        <f t="shared" si="8"/>
        <v/>
      </c>
      <c r="H125" s="27" t="str">
        <f t="shared" si="9"/>
        <v/>
      </c>
    </row>
    <row r="126" spans="2:8" ht="16.5" customHeight="1" x14ac:dyDescent="0.2">
      <c r="B126" s="39"/>
      <c r="C126" s="40"/>
      <c r="D126" s="39"/>
      <c r="E126" s="39"/>
      <c r="F126" s="41"/>
      <c r="G126" s="26" t="str">
        <f t="shared" si="8"/>
        <v/>
      </c>
      <c r="H126" s="27" t="str">
        <f t="shared" si="9"/>
        <v/>
      </c>
    </row>
    <row r="127" spans="2:8" ht="16.5" customHeight="1" x14ac:dyDescent="0.2">
      <c r="B127" s="42"/>
      <c r="C127" s="40"/>
      <c r="D127" s="42"/>
      <c r="E127" s="42"/>
      <c r="F127" s="41"/>
      <c r="G127" s="26" t="str">
        <f t="shared" si="8"/>
        <v/>
      </c>
      <c r="H127" s="27" t="str">
        <f t="shared" si="9"/>
        <v/>
      </c>
    </row>
    <row r="128" spans="2:8" ht="16.5" customHeight="1" x14ac:dyDescent="0.2">
      <c r="B128" s="39"/>
      <c r="C128" s="40"/>
      <c r="D128" s="39"/>
      <c r="E128" s="39"/>
      <c r="F128" s="41"/>
      <c r="G128" s="26" t="str">
        <f t="shared" si="8"/>
        <v/>
      </c>
      <c r="H128" s="27" t="str">
        <f t="shared" si="9"/>
        <v/>
      </c>
    </row>
    <row r="129" spans="2:8" ht="16.5" customHeight="1" x14ac:dyDescent="0.2">
      <c r="B129" s="42"/>
      <c r="C129" s="40"/>
      <c r="D129" s="42"/>
      <c r="E129" s="42"/>
      <c r="F129" s="41"/>
      <c r="G129" s="26" t="str">
        <f t="shared" si="8"/>
        <v/>
      </c>
      <c r="H129" s="27" t="str">
        <f t="shared" si="9"/>
        <v/>
      </c>
    </row>
    <row r="130" spans="2:8" ht="16.5" customHeight="1" x14ac:dyDescent="0.2">
      <c r="B130" s="39"/>
      <c r="C130" s="40"/>
      <c r="D130" s="39"/>
      <c r="E130" s="39"/>
      <c r="F130" s="41"/>
      <c r="G130" s="26" t="str">
        <f t="shared" si="8"/>
        <v/>
      </c>
      <c r="H130" s="27" t="str">
        <f t="shared" si="9"/>
        <v/>
      </c>
    </row>
    <row r="131" spans="2:8" ht="16.5" customHeight="1" x14ac:dyDescent="0.2">
      <c r="B131" s="42"/>
      <c r="C131" s="40"/>
      <c r="D131" s="42"/>
      <c r="E131" s="42"/>
      <c r="F131" s="41"/>
      <c r="G131" s="26" t="str">
        <f t="shared" si="8"/>
        <v/>
      </c>
      <c r="H131" s="27" t="str">
        <f t="shared" si="9"/>
        <v/>
      </c>
    </row>
    <row r="132" spans="2:8" ht="16.5" customHeight="1" x14ac:dyDescent="0.2">
      <c r="B132" s="39"/>
      <c r="C132" s="40"/>
      <c r="D132" s="39"/>
      <c r="E132" s="39"/>
      <c r="F132" s="41"/>
      <c r="G132" s="26" t="str">
        <f t="shared" si="8"/>
        <v/>
      </c>
      <c r="H132" s="27" t="str">
        <f t="shared" si="9"/>
        <v/>
      </c>
    </row>
    <row r="133" spans="2:8" ht="16.5" customHeight="1" x14ac:dyDescent="0.2">
      <c r="B133" s="42"/>
      <c r="C133" s="40"/>
      <c r="D133" s="42"/>
      <c r="E133" s="42"/>
      <c r="F133" s="41"/>
      <c r="G133" s="26" t="str">
        <f t="shared" si="8"/>
        <v/>
      </c>
      <c r="H133" s="27" t="str">
        <f t="shared" si="9"/>
        <v/>
      </c>
    </row>
    <row r="134" spans="2:8" ht="16.5" customHeight="1" x14ac:dyDescent="0.2">
      <c r="B134" s="39"/>
      <c r="C134" s="40"/>
      <c r="D134" s="39"/>
      <c r="E134" s="39"/>
      <c r="F134" s="41"/>
      <c r="G134" s="26" t="str">
        <f t="shared" si="8"/>
        <v/>
      </c>
      <c r="H134" s="27" t="str">
        <f t="shared" si="9"/>
        <v/>
      </c>
    </row>
    <row r="135" spans="2:8" ht="16.5" customHeight="1" x14ac:dyDescent="0.2">
      <c r="B135" s="42"/>
      <c r="C135" s="40"/>
      <c r="D135" s="42"/>
      <c r="E135" s="42"/>
      <c r="F135" s="41"/>
      <c r="G135" s="26" t="str">
        <f t="shared" si="8"/>
        <v/>
      </c>
      <c r="H135" s="27" t="str">
        <f t="shared" si="9"/>
        <v/>
      </c>
    </row>
    <row r="136" spans="2:8" ht="16.5" customHeight="1" x14ac:dyDescent="0.2">
      <c r="B136" s="39"/>
      <c r="C136" s="40"/>
      <c r="D136" s="39"/>
      <c r="E136" s="39"/>
      <c r="F136" s="41"/>
      <c r="G136" s="26" t="str">
        <f t="shared" si="8"/>
        <v/>
      </c>
      <c r="H136" s="27" t="str">
        <f t="shared" si="9"/>
        <v/>
      </c>
    </row>
    <row r="137" spans="2:8" ht="16.5" customHeight="1" x14ac:dyDescent="0.2">
      <c r="B137" s="42"/>
      <c r="C137" s="40"/>
      <c r="D137" s="42"/>
      <c r="E137" s="42"/>
      <c r="F137" s="41"/>
      <c r="G137" s="26" t="str">
        <f t="shared" si="8"/>
        <v/>
      </c>
      <c r="H137" s="27" t="str">
        <f t="shared" si="9"/>
        <v/>
      </c>
    </row>
    <row r="138" spans="2:8" ht="16.5" customHeight="1" x14ac:dyDescent="0.2">
      <c r="B138" s="39"/>
      <c r="C138" s="40"/>
      <c r="D138" s="39"/>
      <c r="E138" s="39"/>
      <c r="F138" s="41"/>
      <c r="G138" s="26" t="str">
        <f t="shared" si="8"/>
        <v/>
      </c>
      <c r="H138" s="27" t="str">
        <f t="shared" si="9"/>
        <v/>
      </c>
    </row>
    <row r="139" spans="2:8" ht="16.5" customHeight="1" x14ac:dyDescent="0.2">
      <c r="B139" s="42"/>
      <c r="C139" s="40"/>
      <c r="D139" s="42"/>
      <c r="E139" s="42"/>
      <c r="F139" s="41"/>
      <c r="G139" s="26" t="str">
        <f t="shared" si="8"/>
        <v/>
      </c>
      <c r="H139" s="27" t="str">
        <f t="shared" si="9"/>
        <v/>
      </c>
    </row>
    <row r="140" spans="2:8" ht="16.5" customHeight="1" x14ac:dyDescent="0.2">
      <c r="B140" s="39"/>
      <c r="C140" s="40"/>
      <c r="D140" s="39"/>
      <c r="E140" s="39"/>
      <c r="F140" s="41"/>
      <c r="G140" s="26" t="str">
        <f t="shared" si="8"/>
        <v/>
      </c>
      <c r="H140" s="27" t="str">
        <f t="shared" si="9"/>
        <v/>
      </c>
    </row>
    <row r="141" spans="2:8" ht="16.5" customHeight="1" x14ac:dyDescent="0.2">
      <c r="B141" s="42"/>
      <c r="C141" s="40"/>
      <c r="D141" s="42"/>
      <c r="E141" s="42"/>
      <c r="F141" s="41"/>
      <c r="G141" s="26" t="str">
        <f t="shared" si="8"/>
        <v/>
      </c>
      <c r="H141" s="27" t="str">
        <f t="shared" si="9"/>
        <v/>
      </c>
    </row>
    <row r="142" spans="2:8" ht="16.5" customHeight="1" x14ac:dyDescent="0.2">
      <c r="B142" s="39"/>
      <c r="C142" s="40"/>
      <c r="D142" s="39"/>
      <c r="E142" s="39"/>
      <c r="F142" s="41"/>
      <c r="G142" s="26" t="str">
        <f t="shared" si="8"/>
        <v/>
      </c>
      <c r="H142" s="27" t="str">
        <f t="shared" si="9"/>
        <v/>
      </c>
    </row>
    <row r="143" spans="2:8" ht="16.5" customHeight="1" x14ac:dyDescent="0.2">
      <c r="B143" s="42"/>
      <c r="C143" s="40"/>
      <c r="D143" s="42"/>
      <c r="E143" s="42"/>
      <c r="F143" s="41"/>
      <c r="G143" s="26" t="str">
        <f t="shared" si="8"/>
        <v/>
      </c>
      <c r="H143" s="27" t="str">
        <f t="shared" si="9"/>
        <v/>
      </c>
    </row>
    <row r="144" spans="2:8" ht="16.5" customHeight="1" x14ac:dyDescent="0.2">
      <c r="B144" s="39"/>
      <c r="C144" s="40"/>
      <c r="D144" s="39"/>
      <c r="E144" s="39"/>
      <c r="F144" s="41"/>
      <c r="G144" s="26" t="str">
        <f t="shared" si="8"/>
        <v/>
      </c>
      <c r="H144" s="27" t="str">
        <f t="shared" si="9"/>
        <v/>
      </c>
    </row>
    <row r="145" spans="2:8" ht="16.5" customHeight="1" x14ac:dyDescent="0.2">
      <c r="B145" s="42"/>
      <c r="C145" s="40"/>
      <c r="D145" s="42"/>
      <c r="E145" s="42"/>
      <c r="F145" s="41"/>
      <c r="G145" s="26" t="str">
        <f t="shared" si="8"/>
        <v/>
      </c>
      <c r="H145" s="27" t="str">
        <f t="shared" si="9"/>
        <v/>
      </c>
    </row>
    <row r="146" spans="2:8" ht="16.5" customHeight="1" x14ac:dyDescent="0.2">
      <c r="B146" s="39"/>
      <c r="C146" s="40"/>
      <c r="D146" s="39"/>
      <c r="E146" s="39"/>
      <c r="F146" s="41"/>
      <c r="G146" s="26" t="str">
        <f t="shared" si="8"/>
        <v/>
      </c>
      <c r="H146" s="27" t="str">
        <f t="shared" si="9"/>
        <v/>
      </c>
    </row>
    <row r="147" spans="2:8" ht="16.5" customHeight="1" x14ac:dyDescent="0.2">
      <c r="B147" s="42"/>
      <c r="C147" s="40"/>
      <c r="D147" s="42"/>
      <c r="E147" s="42"/>
      <c r="F147" s="41"/>
      <c r="G147" s="26" t="str">
        <f t="shared" si="8"/>
        <v/>
      </c>
      <c r="H147" s="27" t="str">
        <f t="shared" si="9"/>
        <v/>
      </c>
    </row>
    <row r="148" spans="2:8" ht="16.5" customHeight="1" x14ac:dyDescent="0.2">
      <c r="B148" s="39"/>
      <c r="C148" s="40"/>
      <c r="D148" s="39"/>
      <c r="E148" s="39"/>
      <c r="F148" s="41"/>
      <c r="G148" s="26" t="str">
        <f t="shared" ref="G148:G179" si="10">IF(F148="","",F148*0.05+F148*0.005*E148)</f>
        <v/>
      </c>
      <c r="H148" s="27" t="str">
        <f t="shared" ref="H148:H179" si="11">IF(F148="","",F148+G148)</f>
        <v/>
      </c>
    </row>
    <row r="149" spans="2:8" ht="16.5" customHeight="1" x14ac:dyDescent="0.2">
      <c r="B149" s="42"/>
      <c r="C149" s="40"/>
      <c r="D149" s="42"/>
      <c r="E149" s="42"/>
      <c r="F149" s="41"/>
      <c r="G149" s="26" t="str">
        <f t="shared" si="10"/>
        <v/>
      </c>
      <c r="H149" s="27" t="str">
        <f t="shared" si="11"/>
        <v/>
      </c>
    </row>
    <row r="150" spans="2:8" ht="16.5" customHeight="1" x14ac:dyDescent="0.2">
      <c r="B150" s="39"/>
      <c r="C150" s="40"/>
      <c r="D150" s="39"/>
      <c r="E150" s="39"/>
      <c r="F150" s="41"/>
      <c r="G150" s="26" t="str">
        <f t="shared" si="10"/>
        <v/>
      </c>
      <c r="H150" s="27" t="str">
        <f t="shared" si="11"/>
        <v/>
      </c>
    </row>
    <row r="151" spans="2:8" ht="16.5" customHeight="1" x14ac:dyDescent="0.2">
      <c r="B151" s="42"/>
      <c r="C151" s="40"/>
      <c r="D151" s="42"/>
      <c r="E151" s="42"/>
      <c r="F151" s="41"/>
      <c r="G151" s="26" t="str">
        <f t="shared" si="10"/>
        <v/>
      </c>
      <c r="H151" s="27" t="str">
        <f t="shared" si="11"/>
        <v/>
      </c>
    </row>
    <row r="152" spans="2:8" ht="16.5" customHeight="1" x14ac:dyDescent="0.2">
      <c r="B152" s="39"/>
      <c r="C152" s="40"/>
      <c r="D152" s="39"/>
      <c r="E152" s="39"/>
      <c r="F152" s="41"/>
      <c r="G152" s="26" t="str">
        <f t="shared" si="10"/>
        <v/>
      </c>
      <c r="H152" s="27" t="str">
        <f t="shared" si="11"/>
        <v/>
      </c>
    </row>
    <row r="153" spans="2:8" ht="16.5" customHeight="1" x14ac:dyDescent="0.2">
      <c r="B153" s="42"/>
      <c r="C153" s="40"/>
      <c r="D153" s="42"/>
      <c r="E153" s="42"/>
      <c r="F153" s="41"/>
      <c r="G153" s="26" t="str">
        <f t="shared" si="10"/>
        <v/>
      </c>
      <c r="H153" s="27" t="str">
        <f t="shared" si="11"/>
        <v/>
      </c>
    </row>
    <row r="154" spans="2:8" ht="16.5" customHeight="1" x14ac:dyDescent="0.2">
      <c r="B154" s="39"/>
      <c r="C154" s="40"/>
      <c r="D154" s="39"/>
      <c r="E154" s="39"/>
      <c r="F154" s="41"/>
      <c r="G154" s="26" t="str">
        <f t="shared" si="10"/>
        <v/>
      </c>
      <c r="H154" s="27" t="str">
        <f t="shared" si="11"/>
        <v/>
      </c>
    </row>
    <row r="155" spans="2:8" ht="16.5" customHeight="1" x14ac:dyDescent="0.2">
      <c r="B155" s="42"/>
      <c r="C155" s="40"/>
      <c r="D155" s="42"/>
      <c r="E155" s="42"/>
      <c r="F155" s="41"/>
      <c r="G155" s="26" t="str">
        <f t="shared" si="10"/>
        <v/>
      </c>
      <c r="H155" s="27" t="str">
        <f t="shared" si="11"/>
        <v/>
      </c>
    </row>
    <row r="156" spans="2:8" ht="16.5" customHeight="1" x14ac:dyDescent="0.2">
      <c r="B156" s="39"/>
      <c r="C156" s="40"/>
      <c r="D156" s="39"/>
      <c r="E156" s="39"/>
      <c r="F156" s="41"/>
      <c r="G156" s="26" t="str">
        <f t="shared" si="10"/>
        <v/>
      </c>
      <c r="H156" s="27" t="str">
        <f t="shared" si="11"/>
        <v/>
      </c>
    </row>
    <row r="157" spans="2:8" ht="16.5" customHeight="1" x14ac:dyDescent="0.2">
      <c r="B157" s="42"/>
      <c r="C157" s="40"/>
      <c r="D157" s="42"/>
      <c r="E157" s="42"/>
      <c r="F157" s="41"/>
      <c r="G157" s="26" t="str">
        <f t="shared" si="10"/>
        <v/>
      </c>
      <c r="H157" s="27" t="str">
        <f t="shared" si="11"/>
        <v/>
      </c>
    </row>
    <row r="158" spans="2:8" ht="16.5" customHeight="1" x14ac:dyDescent="0.2">
      <c r="B158" s="39"/>
      <c r="C158" s="40"/>
      <c r="D158" s="39"/>
      <c r="E158" s="39"/>
      <c r="F158" s="41"/>
      <c r="G158" s="26" t="str">
        <f t="shared" si="10"/>
        <v/>
      </c>
      <c r="H158" s="27" t="str">
        <f t="shared" si="11"/>
        <v/>
      </c>
    </row>
    <row r="159" spans="2:8" ht="16.5" customHeight="1" x14ac:dyDescent="0.2">
      <c r="B159" s="42"/>
      <c r="C159" s="40"/>
      <c r="D159" s="42"/>
      <c r="E159" s="42"/>
      <c r="F159" s="41"/>
      <c r="G159" s="26" t="str">
        <f t="shared" si="10"/>
        <v/>
      </c>
      <c r="H159" s="27" t="str">
        <f t="shared" si="11"/>
        <v/>
      </c>
    </row>
    <row r="160" spans="2:8" ht="21.75" customHeight="1" x14ac:dyDescent="0.2">
      <c r="B160" s="5" t="s">
        <v>40</v>
      </c>
      <c r="C160" s="5"/>
      <c r="D160" s="5"/>
      <c r="E160" s="5"/>
      <c r="F160" s="43">
        <f>SUM(F10:F159)</f>
        <v>11355.5</v>
      </c>
      <c r="G160" s="43">
        <f>SUM(G10:G159)</f>
        <v>1069.1575</v>
      </c>
      <c r="H160" s="43">
        <f>SUM(H10:H159)</f>
        <v>12424.657499999999</v>
      </c>
    </row>
  </sheetData>
  <mergeCells count="8">
    <mergeCell ref="B19:H19"/>
    <mergeCell ref="B160:E160"/>
    <mergeCell ref="B2:H2"/>
    <mergeCell ref="B3:H3"/>
    <mergeCell ref="C6:E6"/>
    <mergeCell ref="F6:G6"/>
    <mergeCell ref="C7:E7"/>
    <mergeCell ref="F7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5276"/>
  </sheetPr>
  <dimension ref="B1:G160"/>
  <sheetViews>
    <sheetView showGridLines="0" zoomScale="95" zoomScaleNormal="9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ColWidth="8.6640625" defaultRowHeight="15" x14ac:dyDescent="0.2"/>
  <cols>
    <col min="1" max="1" width="0.83203125" customWidth="1"/>
    <col min="2" max="2" width="34" customWidth="1"/>
    <col min="3" max="4" width="10" customWidth="1"/>
    <col min="5" max="7" width="15" customWidth="1"/>
    <col min="8" max="8" width="0.83203125" customWidth="1"/>
  </cols>
  <sheetData>
    <row r="1" spans="2:7" ht="6" customHeight="1" x14ac:dyDescent="0.2"/>
    <row r="2" spans="2:7" ht="37.5" customHeight="1" x14ac:dyDescent="0.2">
      <c r="B2" s="12" t="s">
        <v>41</v>
      </c>
      <c r="C2" s="12"/>
      <c r="D2" s="12"/>
      <c r="E2" s="12"/>
      <c r="F2" s="12"/>
      <c r="G2" s="12"/>
    </row>
    <row r="3" spans="2:7" ht="18" customHeight="1" x14ac:dyDescent="0.2">
      <c r="B3" s="11" t="s">
        <v>42</v>
      </c>
      <c r="C3" s="11"/>
      <c r="D3" s="11"/>
      <c r="E3" s="11"/>
      <c r="F3" s="11"/>
      <c r="G3" s="11"/>
    </row>
    <row r="4" spans="2:7" ht="7.5" customHeight="1" x14ac:dyDescent="0.2"/>
    <row r="5" spans="2:7" ht="6" customHeight="1" x14ac:dyDescent="0.2"/>
    <row r="6" spans="2:7" ht="15.75" customHeight="1" x14ac:dyDescent="0.2">
      <c r="B6" s="4" t="s">
        <v>43</v>
      </c>
      <c r="C6" s="4"/>
      <c r="D6" s="10" t="s">
        <v>44</v>
      </c>
      <c r="E6" s="10"/>
      <c r="F6" s="3" t="s">
        <v>5</v>
      </c>
      <c r="G6" s="3"/>
    </row>
    <row r="7" spans="2:7" ht="27.75" customHeight="1" x14ac:dyDescent="0.2">
      <c r="B7" s="2">
        <f>COUNTA(B10:B159)</f>
        <v>10</v>
      </c>
      <c r="C7" s="2"/>
      <c r="D7" s="8">
        <f>SUM(E10:E159)</f>
        <v>21785.5</v>
      </c>
      <c r="E7" s="8"/>
      <c r="F7" s="1">
        <f>SUM(G10:G159)</f>
        <v>23746.199999999997</v>
      </c>
      <c r="G7" s="1"/>
    </row>
    <row r="8" spans="2:7" ht="7.5" customHeight="1" x14ac:dyDescent="0.2"/>
    <row r="9" spans="2:7" ht="27.75" customHeight="1" x14ac:dyDescent="0.2">
      <c r="B9" s="17" t="s">
        <v>6</v>
      </c>
      <c r="C9" s="19" t="s">
        <v>45</v>
      </c>
      <c r="D9" s="18" t="s">
        <v>46</v>
      </c>
      <c r="E9" s="20" t="s">
        <v>10</v>
      </c>
      <c r="F9" s="20" t="s">
        <v>11</v>
      </c>
      <c r="G9" s="20" t="s">
        <v>5</v>
      </c>
    </row>
    <row r="10" spans="2:7" ht="16.5" customHeight="1" x14ac:dyDescent="0.2">
      <c r="B10" s="21" t="s">
        <v>21</v>
      </c>
      <c r="C10" s="38" t="s">
        <v>37</v>
      </c>
      <c r="D10" s="23">
        <v>3</v>
      </c>
      <c r="E10" s="25">
        <v>3800</v>
      </c>
      <c r="F10" s="26">
        <v>342</v>
      </c>
      <c r="G10" s="27">
        <f t="shared" ref="G10:G18" si="0">IF(E10="","",E10+F10)</f>
        <v>4142</v>
      </c>
    </row>
    <row r="11" spans="2:7" ht="16.5" customHeight="1" x14ac:dyDescent="0.2">
      <c r="B11" s="28" t="s">
        <v>18</v>
      </c>
      <c r="C11" s="36" t="s">
        <v>31</v>
      </c>
      <c r="D11" s="30">
        <v>2</v>
      </c>
      <c r="E11" s="25">
        <v>1200</v>
      </c>
      <c r="F11" s="26">
        <v>108</v>
      </c>
      <c r="G11" s="27">
        <f t="shared" si="0"/>
        <v>1308</v>
      </c>
    </row>
    <row r="12" spans="2:7" ht="16.5" customHeight="1" x14ac:dyDescent="0.2">
      <c r="B12" s="21" t="s">
        <v>27</v>
      </c>
      <c r="C12" s="35" t="s">
        <v>28</v>
      </c>
      <c r="D12" s="23">
        <v>4</v>
      </c>
      <c r="E12" s="25">
        <v>5600</v>
      </c>
      <c r="F12" s="26">
        <v>504</v>
      </c>
      <c r="G12" s="27">
        <f t="shared" si="0"/>
        <v>6104</v>
      </c>
    </row>
    <row r="13" spans="2:7" ht="16.5" customHeight="1" x14ac:dyDescent="0.2">
      <c r="B13" s="28" t="s">
        <v>36</v>
      </c>
      <c r="C13" s="34" t="s">
        <v>25</v>
      </c>
      <c r="D13" s="30">
        <v>1</v>
      </c>
      <c r="E13" s="25">
        <v>690</v>
      </c>
      <c r="F13" s="26">
        <v>62.1</v>
      </c>
      <c r="G13" s="27">
        <f t="shared" si="0"/>
        <v>752.1</v>
      </c>
    </row>
    <row r="14" spans="2:7" ht="16.5" customHeight="1" x14ac:dyDescent="0.2">
      <c r="B14" s="21" t="s">
        <v>12</v>
      </c>
      <c r="C14" s="22" t="s">
        <v>13</v>
      </c>
      <c r="D14" s="23">
        <v>1</v>
      </c>
      <c r="E14" s="25">
        <v>320</v>
      </c>
      <c r="F14" s="26">
        <v>28.8</v>
      </c>
      <c r="G14" s="27">
        <f t="shared" si="0"/>
        <v>348.8</v>
      </c>
    </row>
    <row r="15" spans="2:7" ht="16.5" customHeight="1" x14ac:dyDescent="0.2">
      <c r="B15" s="28" t="s">
        <v>30</v>
      </c>
      <c r="C15" s="37" t="s">
        <v>34</v>
      </c>
      <c r="D15" s="30">
        <v>2</v>
      </c>
      <c r="E15" s="25">
        <v>2100</v>
      </c>
      <c r="F15" s="26">
        <v>189</v>
      </c>
      <c r="G15" s="27">
        <f t="shared" si="0"/>
        <v>2289</v>
      </c>
    </row>
    <row r="16" spans="2:7" ht="16.5" customHeight="1" x14ac:dyDescent="0.2">
      <c r="B16" s="21" t="s">
        <v>15</v>
      </c>
      <c r="C16" s="32" t="s">
        <v>19</v>
      </c>
      <c r="D16" s="23">
        <v>1</v>
      </c>
      <c r="E16" s="25">
        <v>475.5</v>
      </c>
      <c r="F16" s="26">
        <v>42.8</v>
      </c>
      <c r="G16" s="27">
        <f t="shared" si="0"/>
        <v>518.29999999999995</v>
      </c>
    </row>
    <row r="17" spans="2:7" ht="16.5" customHeight="1" x14ac:dyDescent="0.2">
      <c r="B17" s="28" t="s">
        <v>24</v>
      </c>
      <c r="C17" s="38" t="s">
        <v>37</v>
      </c>
      <c r="D17" s="30">
        <v>2</v>
      </c>
      <c r="E17" s="25">
        <v>2980</v>
      </c>
      <c r="F17" s="26">
        <v>268.2</v>
      </c>
      <c r="G17" s="27">
        <f t="shared" si="0"/>
        <v>3248.2</v>
      </c>
    </row>
    <row r="18" spans="2:7" ht="16.5" customHeight="1" x14ac:dyDescent="0.2">
      <c r="B18" s="21" t="s">
        <v>33</v>
      </c>
      <c r="C18" s="36" t="s">
        <v>31</v>
      </c>
      <c r="D18" s="23">
        <v>3</v>
      </c>
      <c r="E18" s="25">
        <v>4620</v>
      </c>
      <c r="F18" s="26">
        <v>415.8</v>
      </c>
      <c r="G18" s="27">
        <f t="shared" si="0"/>
        <v>5035.8</v>
      </c>
    </row>
    <row r="19" spans="2:7" ht="15.75" customHeight="1" x14ac:dyDescent="0.2">
      <c r="B19" s="6" t="s">
        <v>39</v>
      </c>
      <c r="C19" s="6"/>
      <c r="D19" s="6"/>
      <c r="E19" s="6"/>
      <c r="F19" s="6"/>
      <c r="G19" s="6"/>
    </row>
    <row r="20" spans="2:7" ht="16.5" customHeight="1" x14ac:dyDescent="0.2">
      <c r="B20" s="39"/>
      <c r="C20" s="40"/>
      <c r="D20" s="39"/>
      <c r="E20" s="41"/>
      <c r="F20" s="44"/>
      <c r="G20" s="27" t="str">
        <f t="shared" ref="G20:G51" si="1">IF(E20="","",E20+F20)</f>
        <v/>
      </c>
    </row>
    <row r="21" spans="2:7" ht="16.5" customHeight="1" x14ac:dyDescent="0.2">
      <c r="B21" s="42"/>
      <c r="C21" s="40"/>
      <c r="D21" s="42"/>
      <c r="E21" s="41"/>
      <c r="F21" s="44"/>
      <c r="G21" s="27" t="str">
        <f t="shared" si="1"/>
        <v/>
      </c>
    </row>
    <row r="22" spans="2:7" ht="16.5" customHeight="1" x14ac:dyDescent="0.2">
      <c r="B22" s="39"/>
      <c r="C22" s="40"/>
      <c r="D22" s="39"/>
      <c r="E22" s="41"/>
      <c r="F22" s="44"/>
      <c r="G22" s="27" t="str">
        <f t="shared" si="1"/>
        <v/>
      </c>
    </row>
    <row r="23" spans="2:7" ht="16.5" customHeight="1" x14ac:dyDescent="0.2">
      <c r="B23" s="42"/>
      <c r="C23" s="40"/>
      <c r="D23" s="42"/>
      <c r="E23" s="41"/>
      <c r="F23" s="44"/>
      <c r="G23" s="27" t="str">
        <f t="shared" si="1"/>
        <v/>
      </c>
    </row>
    <row r="24" spans="2:7" ht="16.5" customHeight="1" x14ac:dyDescent="0.2">
      <c r="B24" s="39"/>
      <c r="C24" s="40"/>
      <c r="D24" s="39"/>
      <c r="E24" s="41"/>
      <c r="F24" s="44"/>
      <c r="G24" s="27" t="str">
        <f t="shared" si="1"/>
        <v/>
      </c>
    </row>
    <row r="25" spans="2:7" ht="16.5" customHeight="1" x14ac:dyDescent="0.2">
      <c r="B25" s="42"/>
      <c r="C25" s="40"/>
      <c r="D25" s="42"/>
      <c r="E25" s="41"/>
      <c r="F25" s="44"/>
      <c r="G25" s="27" t="str">
        <f t="shared" si="1"/>
        <v/>
      </c>
    </row>
    <row r="26" spans="2:7" ht="16.5" customHeight="1" x14ac:dyDescent="0.2">
      <c r="B26" s="39"/>
      <c r="C26" s="40"/>
      <c r="D26" s="39"/>
      <c r="E26" s="41"/>
      <c r="F26" s="44"/>
      <c r="G26" s="27" t="str">
        <f t="shared" si="1"/>
        <v/>
      </c>
    </row>
    <row r="27" spans="2:7" ht="16.5" customHeight="1" x14ac:dyDescent="0.2">
      <c r="B27" s="42"/>
      <c r="C27" s="40"/>
      <c r="D27" s="42"/>
      <c r="E27" s="41"/>
      <c r="F27" s="44"/>
      <c r="G27" s="27" t="str">
        <f t="shared" si="1"/>
        <v/>
      </c>
    </row>
    <row r="28" spans="2:7" ht="16.5" customHeight="1" x14ac:dyDescent="0.2">
      <c r="B28" s="39"/>
      <c r="C28" s="40"/>
      <c r="D28" s="39"/>
      <c r="E28" s="41"/>
      <c r="F28" s="44"/>
      <c r="G28" s="27" t="str">
        <f t="shared" si="1"/>
        <v/>
      </c>
    </row>
    <row r="29" spans="2:7" ht="16.5" customHeight="1" x14ac:dyDescent="0.2">
      <c r="B29" s="42"/>
      <c r="C29" s="40"/>
      <c r="D29" s="42"/>
      <c r="E29" s="41"/>
      <c r="F29" s="44"/>
      <c r="G29" s="27" t="str">
        <f t="shared" si="1"/>
        <v/>
      </c>
    </row>
    <row r="30" spans="2:7" ht="16.5" customHeight="1" x14ac:dyDescent="0.2">
      <c r="B30" s="39"/>
      <c r="C30" s="40"/>
      <c r="D30" s="39"/>
      <c r="E30" s="41"/>
      <c r="F30" s="44"/>
      <c r="G30" s="27" t="str">
        <f t="shared" si="1"/>
        <v/>
      </c>
    </row>
    <row r="31" spans="2:7" ht="16.5" customHeight="1" x14ac:dyDescent="0.2">
      <c r="B31" s="42"/>
      <c r="C31" s="40"/>
      <c r="D31" s="42"/>
      <c r="E31" s="41"/>
      <c r="F31" s="44"/>
      <c r="G31" s="27" t="str">
        <f t="shared" si="1"/>
        <v/>
      </c>
    </row>
    <row r="32" spans="2:7" ht="16.5" customHeight="1" x14ac:dyDescent="0.2">
      <c r="B32" s="39"/>
      <c r="C32" s="40"/>
      <c r="D32" s="39"/>
      <c r="E32" s="41"/>
      <c r="F32" s="44"/>
      <c r="G32" s="27" t="str">
        <f t="shared" si="1"/>
        <v/>
      </c>
    </row>
    <row r="33" spans="2:7" ht="16.5" customHeight="1" x14ac:dyDescent="0.2">
      <c r="B33" s="42"/>
      <c r="C33" s="40"/>
      <c r="D33" s="42"/>
      <c r="E33" s="41"/>
      <c r="F33" s="44"/>
      <c r="G33" s="27" t="str">
        <f t="shared" si="1"/>
        <v/>
      </c>
    </row>
    <row r="34" spans="2:7" ht="16.5" customHeight="1" x14ac:dyDescent="0.2">
      <c r="B34" s="39"/>
      <c r="C34" s="40"/>
      <c r="D34" s="39"/>
      <c r="E34" s="41"/>
      <c r="F34" s="44"/>
      <c r="G34" s="27" t="str">
        <f t="shared" si="1"/>
        <v/>
      </c>
    </row>
    <row r="35" spans="2:7" ht="16.5" customHeight="1" x14ac:dyDescent="0.2">
      <c r="B35" s="42"/>
      <c r="C35" s="40"/>
      <c r="D35" s="42"/>
      <c r="E35" s="41"/>
      <c r="F35" s="44"/>
      <c r="G35" s="27" t="str">
        <f t="shared" si="1"/>
        <v/>
      </c>
    </row>
    <row r="36" spans="2:7" ht="16.5" customHeight="1" x14ac:dyDescent="0.2">
      <c r="B36" s="39"/>
      <c r="C36" s="40"/>
      <c r="D36" s="39"/>
      <c r="E36" s="41"/>
      <c r="F36" s="44"/>
      <c r="G36" s="27" t="str">
        <f t="shared" si="1"/>
        <v/>
      </c>
    </row>
    <row r="37" spans="2:7" ht="16.5" customHeight="1" x14ac:dyDescent="0.2">
      <c r="B37" s="42"/>
      <c r="C37" s="40"/>
      <c r="D37" s="42"/>
      <c r="E37" s="41"/>
      <c r="F37" s="44"/>
      <c r="G37" s="27" t="str">
        <f t="shared" si="1"/>
        <v/>
      </c>
    </row>
    <row r="38" spans="2:7" ht="16.5" customHeight="1" x14ac:dyDescent="0.2">
      <c r="B38" s="39"/>
      <c r="C38" s="40"/>
      <c r="D38" s="39"/>
      <c r="E38" s="41"/>
      <c r="F38" s="44"/>
      <c r="G38" s="27" t="str">
        <f t="shared" si="1"/>
        <v/>
      </c>
    </row>
    <row r="39" spans="2:7" ht="16.5" customHeight="1" x14ac:dyDescent="0.2">
      <c r="B39" s="42"/>
      <c r="C39" s="40"/>
      <c r="D39" s="42"/>
      <c r="E39" s="41"/>
      <c r="F39" s="44"/>
      <c r="G39" s="27" t="str">
        <f t="shared" si="1"/>
        <v/>
      </c>
    </row>
    <row r="40" spans="2:7" ht="16.5" customHeight="1" x14ac:dyDescent="0.2">
      <c r="B40" s="39"/>
      <c r="C40" s="40"/>
      <c r="D40" s="39"/>
      <c r="E40" s="41"/>
      <c r="F40" s="44"/>
      <c r="G40" s="27" t="str">
        <f t="shared" si="1"/>
        <v/>
      </c>
    </row>
    <row r="41" spans="2:7" ht="16.5" customHeight="1" x14ac:dyDescent="0.2">
      <c r="B41" s="42"/>
      <c r="C41" s="40"/>
      <c r="D41" s="42"/>
      <c r="E41" s="41"/>
      <c r="F41" s="44"/>
      <c r="G41" s="27" t="str">
        <f t="shared" si="1"/>
        <v/>
      </c>
    </row>
    <row r="42" spans="2:7" ht="16.5" customHeight="1" x14ac:dyDescent="0.2">
      <c r="B42" s="39"/>
      <c r="C42" s="40"/>
      <c r="D42" s="39"/>
      <c r="E42" s="41"/>
      <c r="F42" s="44"/>
      <c r="G42" s="27" t="str">
        <f t="shared" si="1"/>
        <v/>
      </c>
    </row>
    <row r="43" spans="2:7" ht="16.5" customHeight="1" x14ac:dyDescent="0.2">
      <c r="B43" s="42"/>
      <c r="C43" s="40"/>
      <c r="D43" s="42"/>
      <c r="E43" s="41"/>
      <c r="F43" s="44"/>
      <c r="G43" s="27" t="str">
        <f t="shared" si="1"/>
        <v/>
      </c>
    </row>
    <row r="44" spans="2:7" ht="16.5" customHeight="1" x14ac:dyDescent="0.2">
      <c r="B44" s="39"/>
      <c r="C44" s="40"/>
      <c r="D44" s="39"/>
      <c r="E44" s="41"/>
      <c r="F44" s="44"/>
      <c r="G44" s="27" t="str">
        <f t="shared" si="1"/>
        <v/>
      </c>
    </row>
    <row r="45" spans="2:7" ht="16.5" customHeight="1" x14ac:dyDescent="0.2">
      <c r="B45" s="42"/>
      <c r="C45" s="40"/>
      <c r="D45" s="42"/>
      <c r="E45" s="41"/>
      <c r="F45" s="44"/>
      <c r="G45" s="27" t="str">
        <f t="shared" si="1"/>
        <v/>
      </c>
    </row>
    <row r="46" spans="2:7" ht="16.5" customHeight="1" x14ac:dyDescent="0.2">
      <c r="B46" s="39"/>
      <c r="C46" s="40"/>
      <c r="D46" s="39"/>
      <c r="E46" s="41"/>
      <c r="F46" s="44"/>
      <c r="G46" s="27" t="str">
        <f t="shared" si="1"/>
        <v/>
      </c>
    </row>
    <row r="47" spans="2:7" ht="16.5" customHeight="1" x14ac:dyDescent="0.2">
      <c r="B47" s="42"/>
      <c r="C47" s="40"/>
      <c r="D47" s="42"/>
      <c r="E47" s="41"/>
      <c r="F47" s="44"/>
      <c r="G47" s="27" t="str">
        <f t="shared" si="1"/>
        <v/>
      </c>
    </row>
    <row r="48" spans="2:7" ht="16.5" customHeight="1" x14ac:dyDescent="0.2">
      <c r="B48" s="39"/>
      <c r="C48" s="40"/>
      <c r="D48" s="39"/>
      <c r="E48" s="41"/>
      <c r="F48" s="44"/>
      <c r="G48" s="27" t="str">
        <f t="shared" si="1"/>
        <v/>
      </c>
    </row>
    <row r="49" spans="2:7" ht="16.5" customHeight="1" x14ac:dyDescent="0.2">
      <c r="B49" s="42"/>
      <c r="C49" s="40"/>
      <c r="D49" s="42"/>
      <c r="E49" s="41"/>
      <c r="F49" s="44"/>
      <c r="G49" s="27" t="str">
        <f t="shared" si="1"/>
        <v/>
      </c>
    </row>
    <row r="50" spans="2:7" ht="16.5" customHeight="1" x14ac:dyDescent="0.2">
      <c r="B50" s="39"/>
      <c r="C50" s="40"/>
      <c r="D50" s="39"/>
      <c r="E50" s="41"/>
      <c r="F50" s="44"/>
      <c r="G50" s="27" t="str">
        <f t="shared" si="1"/>
        <v/>
      </c>
    </row>
    <row r="51" spans="2:7" ht="16.5" customHeight="1" x14ac:dyDescent="0.2">
      <c r="B51" s="42"/>
      <c r="C51" s="40"/>
      <c r="D51" s="42"/>
      <c r="E51" s="41"/>
      <c r="F51" s="44"/>
      <c r="G51" s="27" t="str">
        <f t="shared" si="1"/>
        <v/>
      </c>
    </row>
    <row r="52" spans="2:7" ht="16.5" customHeight="1" x14ac:dyDescent="0.2">
      <c r="B52" s="39"/>
      <c r="C52" s="40"/>
      <c r="D52" s="39"/>
      <c r="E52" s="41"/>
      <c r="F52" s="44"/>
      <c r="G52" s="27" t="str">
        <f t="shared" ref="G52:G83" si="2">IF(E52="","",E52+F52)</f>
        <v/>
      </c>
    </row>
    <row r="53" spans="2:7" ht="16.5" customHeight="1" x14ac:dyDescent="0.2">
      <c r="B53" s="42"/>
      <c r="C53" s="40"/>
      <c r="D53" s="42"/>
      <c r="E53" s="41"/>
      <c r="F53" s="44"/>
      <c r="G53" s="27" t="str">
        <f t="shared" si="2"/>
        <v/>
      </c>
    </row>
    <row r="54" spans="2:7" ht="16.5" customHeight="1" x14ac:dyDescent="0.2">
      <c r="B54" s="39"/>
      <c r="C54" s="40"/>
      <c r="D54" s="39"/>
      <c r="E54" s="41"/>
      <c r="F54" s="44"/>
      <c r="G54" s="27" t="str">
        <f t="shared" si="2"/>
        <v/>
      </c>
    </row>
    <row r="55" spans="2:7" ht="16.5" customHeight="1" x14ac:dyDescent="0.2">
      <c r="B55" s="42"/>
      <c r="C55" s="40"/>
      <c r="D55" s="42"/>
      <c r="E55" s="41"/>
      <c r="F55" s="44"/>
      <c r="G55" s="27" t="str">
        <f t="shared" si="2"/>
        <v/>
      </c>
    </row>
    <row r="56" spans="2:7" ht="16.5" customHeight="1" x14ac:dyDescent="0.2">
      <c r="B56" s="39"/>
      <c r="C56" s="40"/>
      <c r="D56" s="39"/>
      <c r="E56" s="41"/>
      <c r="F56" s="44"/>
      <c r="G56" s="27" t="str">
        <f t="shared" si="2"/>
        <v/>
      </c>
    </row>
    <row r="57" spans="2:7" ht="16.5" customHeight="1" x14ac:dyDescent="0.2">
      <c r="B57" s="42"/>
      <c r="C57" s="40"/>
      <c r="D57" s="42"/>
      <c r="E57" s="41"/>
      <c r="F57" s="44"/>
      <c r="G57" s="27" t="str">
        <f t="shared" si="2"/>
        <v/>
      </c>
    </row>
    <row r="58" spans="2:7" ht="16.5" customHeight="1" x14ac:dyDescent="0.2">
      <c r="B58" s="39"/>
      <c r="C58" s="40"/>
      <c r="D58" s="39"/>
      <c r="E58" s="41"/>
      <c r="F58" s="44"/>
      <c r="G58" s="27" t="str">
        <f t="shared" si="2"/>
        <v/>
      </c>
    </row>
    <row r="59" spans="2:7" ht="16.5" customHeight="1" x14ac:dyDescent="0.2">
      <c r="B59" s="42"/>
      <c r="C59" s="40"/>
      <c r="D59" s="42"/>
      <c r="E59" s="41"/>
      <c r="F59" s="44"/>
      <c r="G59" s="27" t="str">
        <f t="shared" si="2"/>
        <v/>
      </c>
    </row>
    <row r="60" spans="2:7" ht="16.5" customHeight="1" x14ac:dyDescent="0.2">
      <c r="B60" s="39"/>
      <c r="C60" s="40"/>
      <c r="D60" s="39"/>
      <c r="E60" s="41"/>
      <c r="F60" s="44"/>
      <c r="G60" s="27" t="str">
        <f t="shared" si="2"/>
        <v/>
      </c>
    </row>
    <row r="61" spans="2:7" ht="16.5" customHeight="1" x14ac:dyDescent="0.2">
      <c r="B61" s="42"/>
      <c r="C61" s="40"/>
      <c r="D61" s="42"/>
      <c r="E61" s="41"/>
      <c r="F61" s="44"/>
      <c r="G61" s="27" t="str">
        <f t="shared" si="2"/>
        <v/>
      </c>
    </row>
    <row r="62" spans="2:7" ht="16.5" customHeight="1" x14ac:dyDescent="0.2">
      <c r="B62" s="39"/>
      <c r="C62" s="40"/>
      <c r="D62" s="39"/>
      <c r="E62" s="41"/>
      <c r="F62" s="44"/>
      <c r="G62" s="27" t="str">
        <f t="shared" si="2"/>
        <v/>
      </c>
    </row>
    <row r="63" spans="2:7" ht="16.5" customHeight="1" x14ac:dyDescent="0.2">
      <c r="B63" s="42"/>
      <c r="C63" s="40"/>
      <c r="D63" s="42"/>
      <c r="E63" s="41"/>
      <c r="F63" s="44"/>
      <c r="G63" s="27" t="str">
        <f t="shared" si="2"/>
        <v/>
      </c>
    </row>
    <row r="64" spans="2:7" ht="16.5" customHeight="1" x14ac:dyDescent="0.2">
      <c r="B64" s="39"/>
      <c r="C64" s="40"/>
      <c r="D64" s="39"/>
      <c r="E64" s="41"/>
      <c r="F64" s="44"/>
      <c r="G64" s="27" t="str">
        <f t="shared" si="2"/>
        <v/>
      </c>
    </row>
    <row r="65" spans="2:7" ht="16.5" customHeight="1" x14ac:dyDescent="0.2">
      <c r="B65" s="42"/>
      <c r="C65" s="40"/>
      <c r="D65" s="42"/>
      <c r="E65" s="41"/>
      <c r="F65" s="44"/>
      <c r="G65" s="27" t="str">
        <f t="shared" si="2"/>
        <v/>
      </c>
    </row>
    <row r="66" spans="2:7" ht="16.5" customHeight="1" x14ac:dyDescent="0.2">
      <c r="B66" s="39"/>
      <c r="C66" s="40"/>
      <c r="D66" s="39"/>
      <c r="E66" s="41"/>
      <c r="F66" s="44"/>
      <c r="G66" s="27" t="str">
        <f t="shared" si="2"/>
        <v/>
      </c>
    </row>
    <row r="67" spans="2:7" ht="16.5" customHeight="1" x14ac:dyDescent="0.2">
      <c r="B67" s="42"/>
      <c r="C67" s="40"/>
      <c r="D67" s="42"/>
      <c r="E67" s="41"/>
      <c r="F67" s="44"/>
      <c r="G67" s="27" t="str">
        <f t="shared" si="2"/>
        <v/>
      </c>
    </row>
    <row r="68" spans="2:7" ht="16.5" customHeight="1" x14ac:dyDescent="0.2">
      <c r="B68" s="39"/>
      <c r="C68" s="40"/>
      <c r="D68" s="39"/>
      <c r="E68" s="41"/>
      <c r="F68" s="44"/>
      <c r="G68" s="27" t="str">
        <f t="shared" si="2"/>
        <v/>
      </c>
    </row>
    <row r="69" spans="2:7" ht="16.5" customHeight="1" x14ac:dyDescent="0.2">
      <c r="B69" s="42"/>
      <c r="C69" s="40"/>
      <c r="D69" s="42"/>
      <c r="E69" s="41"/>
      <c r="F69" s="44"/>
      <c r="G69" s="27" t="str">
        <f t="shared" si="2"/>
        <v/>
      </c>
    </row>
    <row r="70" spans="2:7" ht="16.5" customHeight="1" x14ac:dyDescent="0.2">
      <c r="B70" s="39"/>
      <c r="C70" s="40"/>
      <c r="D70" s="39"/>
      <c r="E70" s="41"/>
      <c r="F70" s="44"/>
      <c r="G70" s="27" t="str">
        <f t="shared" si="2"/>
        <v/>
      </c>
    </row>
    <row r="71" spans="2:7" ht="16.5" customHeight="1" x14ac:dyDescent="0.2">
      <c r="B71" s="42"/>
      <c r="C71" s="40"/>
      <c r="D71" s="42"/>
      <c r="E71" s="41"/>
      <c r="F71" s="44"/>
      <c r="G71" s="27" t="str">
        <f t="shared" si="2"/>
        <v/>
      </c>
    </row>
    <row r="72" spans="2:7" ht="16.5" customHeight="1" x14ac:dyDescent="0.2">
      <c r="B72" s="39"/>
      <c r="C72" s="40"/>
      <c r="D72" s="39"/>
      <c r="E72" s="41"/>
      <c r="F72" s="44"/>
      <c r="G72" s="27" t="str">
        <f t="shared" si="2"/>
        <v/>
      </c>
    </row>
    <row r="73" spans="2:7" ht="16.5" customHeight="1" x14ac:dyDescent="0.2">
      <c r="B73" s="42"/>
      <c r="C73" s="40"/>
      <c r="D73" s="42"/>
      <c r="E73" s="41"/>
      <c r="F73" s="44"/>
      <c r="G73" s="27" t="str">
        <f t="shared" si="2"/>
        <v/>
      </c>
    </row>
    <row r="74" spans="2:7" ht="16.5" customHeight="1" x14ac:dyDescent="0.2">
      <c r="B74" s="39"/>
      <c r="C74" s="40"/>
      <c r="D74" s="39"/>
      <c r="E74" s="41"/>
      <c r="F74" s="44"/>
      <c r="G74" s="27" t="str">
        <f t="shared" si="2"/>
        <v/>
      </c>
    </row>
    <row r="75" spans="2:7" ht="16.5" customHeight="1" x14ac:dyDescent="0.2">
      <c r="B75" s="42"/>
      <c r="C75" s="40"/>
      <c r="D75" s="42"/>
      <c r="E75" s="41"/>
      <c r="F75" s="44"/>
      <c r="G75" s="27" t="str">
        <f t="shared" si="2"/>
        <v/>
      </c>
    </row>
    <row r="76" spans="2:7" ht="16.5" customHeight="1" x14ac:dyDescent="0.2">
      <c r="B76" s="39"/>
      <c r="C76" s="40"/>
      <c r="D76" s="39"/>
      <c r="E76" s="41"/>
      <c r="F76" s="44"/>
      <c r="G76" s="27" t="str">
        <f t="shared" si="2"/>
        <v/>
      </c>
    </row>
    <row r="77" spans="2:7" ht="16.5" customHeight="1" x14ac:dyDescent="0.2">
      <c r="B77" s="42"/>
      <c r="C77" s="40"/>
      <c r="D77" s="42"/>
      <c r="E77" s="41"/>
      <c r="F77" s="44"/>
      <c r="G77" s="27" t="str">
        <f t="shared" si="2"/>
        <v/>
      </c>
    </row>
    <row r="78" spans="2:7" ht="16.5" customHeight="1" x14ac:dyDescent="0.2">
      <c r="B78" s="39"/>
      <c r="C78" s="40"/>
      <c r="D78" s="39"/>
      <c r="E78" s="41"/>
      <c r="F78" s="44"/>
      <c r="G78" s="27" t="str">
        <f t="shared" si="2"/>
        <v/>
      </c>
    </row>
    <row r="79" spans="2:7" ht="16.5" customHeight="1" x14ac:dyDescent="0.2">
      <c r="B79" s="42"/>
      <c r="C79" s="40"/>
      <c r="D79" s="42"/>
      <c r="E79" s="41"/>
      <c r="F79" s="44"/>
      <c r="G79" s="27" t="str">
        <f t="shared" si="2"/>
        <v/>
      </c>
    </row>
    <row r="80" spans="2:7" ht="16.5" customHeight="1" x14ac:dyDescent="0.2">
      <c r="B80" s="39"/>
      <c r="C80" s="40"/>
      <c r="D80" s="39"/>
      <c r="E80" s="41"/>
      <c r="F80" s="44"/>
      <c r="G80" s="27" t="str">
        <f t="shared" si="2"/>
        <v/>
      </c>
    </row>
    <row r="81" spans="2:7" ht="16.5" customHeight="1" x14ac:dyDescent="0.2">
      <c r="B81" s="42"/>
      <c r="C81" s="40"/>
      <c r="D81" s="42"/>
      <c r="E81" s="41"/>
      <c r="F81" s="44"/>
      <c r="G81" s="27" t="str">
        <f t="shared" si="2"/>
        <v/>
      </c>
    </row>
    <row r="82" spans="2:7" ht="16.5" customHeight="1" x14ac:dyDescent="0.2">
      <c r="B82" s="39"/>
      <c r="C82" s="40"/>
      <c r="D82" s="39"/>
      <c r="E82" s="41"/>
      <c r="F82" s="44"/>
      <c r="G82" s="27" t="str">
        <f t="shared" si="2"/>
        <v/>
      </c>
    </row>
    <row r="83" spans="2:7" ht="16.5" customHeight="1" x14ac:dyDescent="0.2">
      <c r="B83" s="42"/>
      <c r="C83" s="40"/>
      <c r="D83" s="42"/>
      <c r="E83" s="41"/>
      <c r="F83" s="44"/>
      <c r="G83" s="27" t="str">
        <f t="shared" si="2"/>
        <v/>
      </c>
    </row>
    <row r="84" spans="2:7" ht="16.5" customHeight="1" x14ac:dyDescent="0.2">
      <c r="B84" s="39"/>
      <c r="C84" s="40"/>
      <c r="D84" s="39"/>
      <c r="E84" s="41"/>
      <c r="F84" s="44"/>
      <c r="G84" s="27" t="str">
        <f t="shared" ref="G84:G115" si="3">IF(E84="","",E84+F84)</f>
        <v/>
      </c>
    </row>
    <row r="85" spans="2:7" ht="16.5" customHeight="1" x14ac:dyDescent="0.2">
      <c r="B85" s="42"/>
      <c r="C85" s="40"/>
      <c r="D85" s="42"/>
      <c r="E85" s="41"/>
      <c r="F85" s="44"/>
      <c r="G85" s="27" t="str">
        <f t="shared" si="3"/>
        <v/>
      </c>
    </row>
    <row r="86" spans="2:7" ht="16.5" customHeight="1" x14ac:dyDescent="0.2">
      <c r="B86" s="39"/>
      <c r="C86" s="40"/>
      <c r="D86" s="39"/>
      <c r="E86" s="41"/>
      <c r="F86" s="44"/>
      <c r="G86" s="27" t="str">
        <f t="shared" si="3"/>
        <v/>
      </c>
    </row>
    <row r="87" spans="2:7" ht="16.5" customHeight="1" x14ac:dyDescent="0.2">
      <c r="B87" s="42"/>
      <c r="C87" s="40"/>
      <c r="D87" s="42"/>
      <c r="E87" s="41"/>
      <c r="F87" s="44"/>
      <c r="G87" s="27" t="str">
        <f t="shared" si="3"/>
        <v/>
      </c>
    </row>
    <row r="88" spans="2:7" ht="16.5" customHeight="1" x14ac:dyDescent="0.2">
      <c r="B88" s="39"/>
      <c r="C88" s="40"/>
      <c r="D88" s="39"/>
      <c r="E88" s="41"/>
      <c r="F88" s="44"/>
      <c r="G88" s="27" t="str">
        <f t="shared" si="3"/>
        <v/>
      </c>
    </row>
    <row r="89" spans="2:7" ht="16.5" customHeight="1" x14ac:dyDescent="0.2">
      <c r="B89" s="42"/>
      <c r="C89" s="40"/>
      <c r="D89" s="42"/>
      <c r="E89" s="41"/>
      <c r="F89" s="44"/>
      <c r="G89" s="27" t="str">
        <f t="shared" si="3"/>
        <v/>
      </c>
    </row>
    <row r="90" spans="2:7" ht="16.5" customHeight="1" x14ac:dyDescent="0.2">
      <c r="B90" s="39"/>
      <c r="C90" s="40"/>
      <c r="D90" s="39"/>
      <c r="E90" s="41"/>
      <c r="F90" s="44"/>
      <c r="G90" s="27" t="str">
        <f t="shared" si="3"/>
        <v/>
      </c>
    </row>
    <row r="91" spans="2:7" ht="16.5" customHeight="1" x14ac:dyDescent="0.2">
      <c r="B91" s="42"/>
      <c r="C91" s="40"/>
      <c r="D91" s="42"/>
      <c r="E91" s="41"/>
      <c r="F91" s="44"/>
      <c r="G91" s="27" t="str">
        <f t="shared" si="3"/>
        <v/>
      </c>
    </row>
    <row r="92" spans="2:7" ht="16.5" customHeight="1" x14ac:dyDescent="0.2">
      <c r="B92" s="39"/>
      <c r="C92" s="40"/>
      <c r="D92" s="39"/>
      <c r="E92" s="41"/>
      <c r="F92" s="44"/>
      <c r="G92" s="27" t="str">
        <f t="shared" si="3"/>
        <v/>
      </c>
    </row>
    <row r="93" spans="2:7" ht="16.5" customHeight="1" x14ac:dyDescent="0.2">
      <c r="B93" s="42"/>
      <c r="C93" s="40"/>
      <c r="D93" s="42"/>
      <c r="E93" s="41"/>
      <c r="F93" s="44"/>
      <c r="G93" s="27" t="str">
        <f t="shared" si="3"/>
        <v/>
      </c>
    </row>
    <row r="94" spans="2:7" ht="16.5" customHeight="1" x14ac:dyDescent="0.2">
      <c r="B94" s="39"/>
      <c r="C94" s="40"/>
      <c r="D94" s="39"/>
      <c r="E94" s="41"/>
      <c r="F94" s="44"/>
      <c r="G94" s="27" t="str">
        <f t="shared" si="3"/>
        <v/>
      </c>
    </row>
    <row r="95" spans="2:7" ht="16.5" customHeight="1" x14ac:dyDescent="0.2">
      <c r="B95" s="42"/>
      <c r="C95" s="40"/>
      <c r="D95" s="42"/>
      <c r="E95" s="41"/>
      <c r="F95" s="44"/>
      <c r="G95" s="27" t="str">
        <f t="shared" si="3"/>
        <v/>
      </c>
    </row>
    <row r="96" spans="2:7" ht="16.5" customHeight="1" x14ac:dyDescent="0.2">
      <c r="B96" s="39"/>
      <c r="C96" s="40"/>
      <c r="D96" s="39"/>
      <c r="E96" s="41"/>
      <c r="F96" s="44"/>
      <c r="G96" s="27" t="str">
        <f t="shared" si="3"/>
        <v/>
      </c>
    </row>
    <row r="97" spans="2:7" ht="16.5" customHeight="1" x14ac:dyDescent="0.2">
      <c r="B97" s="42"/>
      <c r="C97" s="40"/>
      <c r="D97" s="42"/>
      <c r="E97" s="41"/>
      <c r="F97" s="44"/>
      <c r="G97" s="27" t="str">
        <f t="shared" si="3"/>
        <v/>
      </c>
    </row>
    <row r="98" spans="2:7" ht="16.5" customHeight="1" x14ac:dyDescent="0.2">
      <c r="B98" s="39"/>
      <c r="C98" s="40"/>
      <c r="D98" s="39"/>
      <c r="E98" s="41"/>
      <c r="F98" s="44"/>
      <c r="G98" s="27" t="str">
        <f t="shared" si="3"/>
        <v/>
      </c>
    </row>
    <row r="99" spans="2:7" ht="16.5" customHeight="1" x14ac:dyDescent="0.2">
      <c r="B99" s="42"/>
      <c r="C99" s="40"/>
      <c r="D99" s="42"/>
      <c r="E99" s="41"/>
      <c r="F99" s="44"/>
      <c r="G99" s="27" t="str">
        <f t="shared" si="3"/>
        <v/>
      </c>
    </row>
    <row r="100" spans="2:7" ht="16.5" customHeight="1" x14ac:dyDescent="0.2">
      <c r="B100" s="39"/>
      <c r="C100" s="40"/>
      <c r="D100" s="39"/>
      <c r="E100" s="41"/>
      <c r="F100" s="44"/>
      <c r="G100" s="27" t="str">
        <f t="shared" si="3"/>
        <v/>
      </c>
    </row>
    <row r="101" spans="2:7" ht="16.5" customHeight="1" x14ac:dyDescent="0.2">
      <c r="B101" s="42"/>
      <c r="C101" s="40"/>
      <c r="D101" s="42"/>
      <c r="E101" s="41"/>
      <c r="F101" s="44"/>
      <c r="G101" s="27" t="str">
        <f t="shared" si="3"/>
        <v/>
      </c>
    </row>
    <row r="102" spans="2:7" ht="16.5" customHeight="1" x14ac:dyDescent="0.2">
      <c r="B102" s="39"/>
      <c r="C102" s="40"/>
      <c r="D102" s="39"/>
      <c r="E102" s="41"/>
      <c r="F102" s="44"/>
      <c r="G102" s="27" t="str">
        <f t="shared" si="3"/>
        <v/>
      </c>
    </row>
    <row r="103" spans="2:7" ht="16.5" customHeight="1" x14ac:dyDescent="0.2">
      <c r="B103" s="42"/>
      <c r="C103" s="40"/>
      <c r="D103" s="42"/>
      <c r="E103" s="41"/>
      <c r="F103" s="44"/>
      <c r="G103" s="27" t="str">
        <f t="shared" si="3"/>
        <v/>
      </c>
    </row>
    <row r="104" spans="2:7" ht="16.5" customHeight="1" x14ac:dyDescent="0.2">
      <c r="B104" s="39"/>
      <c r="C104" s="40"/>
      <c r="D104" s="39"/>
      <c r="E104" s="41"/>
      <c r="F104" s="44"/>
      <c r="G104" s="27" t="str">
        <f t="shared" si="3"/>
        <v/>
      </c>
    </row>
    <row r="105" spans="2:7" ht="16.5" customHeight="1" x14ac:dyDescent="0.2">
      <c r="B105" s="42"/>
      <c r="C105" s="40"/>
      <c r="D105" s="42"/>
      <c r="E105" s="41"/>
      <c r="F105" s="44"/>
      <c r="G105" s="27" t="str">
        <f t="shared" si="3"/>
        <v/>
      </c>
    </row>
    <row r="106" spans="2:7" ht="16.5" customHeight="1" x14ac:dyDescent="0.2">
      <c r="B106" s="39"/>
      <c r="C106" s="40"/>
      <c r="D106" s="39"/>
      <c r="E106" s="41"/>
      <c r="F106" s="44"/>
      <c r="G106" s="27" t="str">
        <f t="shared" si="3"/>
        <v/>
      </c>
    </row>
    <row r="107" spans="2:7" ht="16.5" customHeight="1" x14ac:dyDescent="0.2">
      <c r="B107" s="42"/>
      <c r="C107" s="40"/>
      <c r="D107" s="42"/>
      <c r="E107" s="41"/>
      <c r="F107" s="44"/>
      <c r="G107" s="27" t="str">
        <f t="shared" si="3"/>
        <v/>
      </c>
    </row>
    <row r="108" spans="2:7" ht="16.5" customHeight="1" x14ac:dyDescent="0.2">
      <c r="B108" s="39"/>
      <c r="C108" s="40"/>
      <c r="D108" s="39"/>
      <c r="E108" s="41"/>
      <c r="F108" s="44"/>
      <c r="G108" s="27" t="str">
        <f t="shared" si="3"/>
        <v/>
      </c>
    </row>
    <row r="109" spans="2:7" ht="16.5" customHeight="1" x14ac:dyDescent="0.2">
      <c r="B109" s="42"/>
      <c r="C109" s="40"/>
      <c r="D109" s="42"/>
      <c r="E109" s="41"/>
      <c r="F109" s="44"/>
      <c r="G109" s="27" t="str">
        <f t="shared" si="3"/>
        <v/>
      </c>
    </row>
    <row r="110" spans="2:7" ht="16.5" customHeight="1" x14ac:dyDescent="0.2">
      <c r="B110" s="39"/>
      <c r="C110" s="40"/>
      <c r="D110" s="39"/>
      <c r="E110" s="41"/>
      <c r="F110" s="44"/>
      <c r="G110" s="27" t="str">
        <f t="shared" si="3"/>
        <v/>
      </c>
    </row>
    <row r="111" spans="2:7" ht="16.5" customHeight="1" x14ac:dyDescent="0.2">
      <c r="B111" s="42"/>
      <c r="C111" s="40"/>
      <c r="D111" s="42"/>
      <c r="E111" s="41"/>
      <c r="F111" s="44"/>
      <c r="G111" s="27" t="str">
        <f t="shared" si="3"/>
        <v/>
      </c>
    </row>
    <row r="112" spans="2:7" ht="16.5" customHeight="1" x14ac:dyDescent="0.2">
      <c r="B112" s="39"/>
      <c r="C112" s="40"/>
      <c r="D112" s="39"/>
      <c r="E112" s="41"/>
      <c r="F112" s="44"/>
      <c r="G112" s="27" t="str">
        <f t="shared" si="3"/>
        <v/>
      </c>
    </row>
    <row r="113" spans="2:7" ht="16.5" customHeight="1" x14ac:dyDescent="0.2">
      <c r="B113" s="42"/>
      <c r="C113" s="40"/>
      <c r="D113" s="42"/>
      <c r="E113" s="41"/>
      <c r="F113" s="44"/>
      <c r="G113" s="27" t="str">
        <f t="shared" si="3"/>
        <v/>
      </c>
    </row>
    <row r="114" spans="2:7" ht="16.5" customHeight="1" x14ac:dyDescent="0.2">
      <c r="B114" s="39"/>
      <c r="C114" s="40"/>
      <c r="D114" s="39"/>
      <c r="E114" s="41"/>
      <c r="F114" s="44"/>
      <c r="G114" s="27" t="str">
        <f t="shared" si="3"/>
        <v/>
      </c>
    </row>
    <row r="115" spans="2:7" ht="16.5" customHeight="1" x14ac:dyDescent="0.2">
      <c r="B115" s="42"/>
      <c r="C115" s="40"/>
      <c r="D115" s="42"/>
      <c r="E115" s="41"/>
      <c r="F115" s="44"/>
      <c r="G115" s="27" t="str">
        <f t="shared" si="3"/>
        <v/>
      </c>
    </row>
    <row r="116" spans="2:7" ht="16.5" customHeight="1" x14ac:dyDescent="0.2">
      <c r="B116" s="39"/>
      <c r="C116" s="40"/>
      <c r="D116" s="39"/>
      <c r="E116" s="41"/>
      <c r="F116" s="44"/>
      <c r="G116" s="27" t="str">
        <f t="shared" ref="G116:G147" si="4">IF(E116="","",E116+F116)</f>
        <v/>
      </c>
    </row>
    <row r="117" spans="2:7" ht="16.5" customHeight="1" x14ac:dyDescent="0.2">
      <c r="B117" s="42"/>
      <c r="C117" s="40"/>
      <c r="D117" s="42"/>
      <c r="E117" s="41"/>
      <c r="F117" s="44"/>
      <c r="G117" s="27" t="str">
        <f t="shared" si="4"/>
        <v/>
      </c>
    </row>
    <row r="118" spans="2:7" ht="16.5" customHeight="1" x14ac:dyDescent="0.2">
      <c r="B118" s="39"/>
      <c r="C118" s="40"/>
      <c r="D118" s="39"/>
      <c r="E118" s="41"/>
      <c r="F118" s="44"/>
      <c r="G118" s="27" t="str">
        <f t="shared" si="4"/>
        <v/>
      </c>
    </row>
    <row r="119" spans="2:7" ht="16.5" customHeight="1" x14ac:dyDescent="0.2">
      <c r="B119" s="42"/>
      <c r="C119" s="40"/>
      <c r="D119" s="42"/>
      <c r="E119" s="41"/>
      <c r="F119" s="44"/>
      <c r="G119" s="27" t="str">
        <f t="shared" si="4"/>
        <v/>
      </c>
    </row>
    <row r="120" spans="2:7" ht="16.5" customHeight="1" x14ac:dyDescent="0.2">
      <c r="B120" s="39"/>
      <c r="C120" s="40"/>
      <c r="D120" s="39"/>
      <c r="E120" s="41"/>
      <c r="F120" s="44"/>
      <c r="G120" s="27" t="str">
        <f t="shared" si="4"/>
        <v/>
      </c>
    </row>
    <row r="121" spans="2:7" ht="16.5" customHeight="1" x14ac:dyDescent="0.2">
      <c r="B121" s="42"/>
      <c r="C121" s="40"/>
      <c r="D121" s="42"/>
      <c r="E121" s="41"/>
      <c r="F121" s="44"/>
      <c r="G121" s="27" t="str">
        <f t="shared" si="4"/>
        <v/>
      </c>
    </row>
    <row r="122" spans="2:7" ht="16.5" customHeight="1" x14ac:dyDescent="0.2">
      <c r="B122" s="39"/>
      <c r="C122" s="40"/>
      <c r="D122" s="39"/>
      <c r="E122" s="41"/>
      <c r="F122" s="44"/>
      <c r="G122" s="27" t="str">
        <f t="shared" si="4"/>
        <v/>
      </c>
    </row>
    <row r="123" spans="2:7" ht="16.5" customHeight="1" x14ac:dyDescent="0.2">
      <c r="B123" s="42"/>
      <c r="C123" s="40"/>
      <c r="D123" s="42"/>
      <c r="E123" s="41"/>
      <c r="F123" s="44"/>
      <c r="G123" s="27" t="str">
        <f t="shared" si="4"/>
        <v/>
      </c>
    </row>
    <row r="124" spans="2:7" ht="16.5" customHeight="1" x14ac:dyDescent="0.2">
      <c r="B124" s="39"/>
      <c r="C124" s="40"/>
      <c r="D124" s="39"/>
      <c r="E124" s="41"/>
      <c r="F124" s="44"/>
      <c r="G124" s="27" t="str">
        <f t="shared" si="4"/>
        <v/>
      </c>
    </row>
    <row r="125" spans="2:7" ht="16.5" customHeight="1" x14ac:dyDescent="0.2">
      <c r="B125" s="42"/>
      <c r="C125" s="40"/>
      <c r="D125" s="42"/>
      <c r="E125" s="41"/>
      <c r="F125" s="44"/>
      <c r="G125" s="27" t="str">
        <f t="shared" si="4"/>
        <v/>
      </c>
    </row>
    <row r="126" spans="2:7" ht="16.5" customHeight="1" x14ac:dyDescent="0.2">
      <c r="B126" s="39"/>
      <c r="C126" s="40"/>
      <c r="D126" s="39"/>
      <c r="E126" s="41"/>
      <c r="F126" s="44"/>
      <c r="G126" s="27" t="str">
        <f t="shared" si="4"/>
        <v/>
      </c>
    </row>
    <row r="127" spans="2:7" ht="16.5" customHeight="1" x14ac:dyDescent="0.2">
      <c r="B127" s="42"/>
      <c r="C127" s="40"/>
      <c r="D127" s="42"/>
      <c r="E127" s="41"/>
      <c r="F127" s="44"/>
      <c r="G127" s="27" t="str">
        <f t="shared" si="4"/>
        <v/>
      </c>
    </row>
    <row r="128" spans="2:7" ht="16.5" customHeight="1" x14ac:dyDescent="0.2">
      <c r="B128" s="39"/>
      <c r="C128" s="40"/>
      <c r="D128" s="39"/>
      <c r="E128" s="41"/>
      <c r="F128" s="44"/>
      <c r="G128" s="27" t="str">
        <f t="shared" si="4"/>
        <v/>
      </c>
    </row>
    <row r="129" spans="2:7" ht="16.5" customHeight="1" x14ac:dyDescent="0.2">
      <c r="B129" s="42"/>
      <c r="C129" s="40"/>
      <c r="D129" s="42"/>
      <c r="E129" s="41"/>
      <c r="F129" s="44"/>
      <c r="G129" s="27" t="str">
        <f t="shared" si="4"/>
        <v/>
      </c>
    </row>
    <row r="130" spans="2:7" ht="16.5" customHeight="1" x14ac:dyDescent="0.2">
      <c r="B130" s="39"/>
      <c r="C130" s="40"/>
      <c r="D130" s="39"/>
      <c r="E130" s="41"/>
      <c r="F130" s="44"/>
      <c r="G130" s="27" t="str">
        <f t="shared" si="4"/>
        <v/>
      </c>
    </row>
    <row r="131" spans="2:7" ht="16.5" customHeight="1" x14ac:dyDescent="0.2">
      <c r="B131" s="42"/>
      <c r="C131" s="40"/>
      <c r="D131" s="42"/>
      <c r="E131" s="41"/>
      <c r="F131" s="44"/>
      <c r="G131" s="27" t="str">
        <f t="shared" si="4"/>
        <v/>
      </c>
    </row>
    <row r="132" spans="2:7" ht="16.5" customHeight="1" x14ac:dyDescent="0.2">
      <c r="B132" s="39"/>
      <c r="C132" s="40"/>
      <c r="D132" s="39"/>
      <c r="E132" s="41"/>
      <c r="F132" s="44"/>
      <c r="G132" s="27" t="str">
        <f t="shared" si="4"/>
        <v/>
      </c>
    </row>
    <row r="133" spans="2:7" ht="16.5" customHeight="1" x14ac:dyDescent="0.2">
      <c r="B133" s="42"/>
      <c r="C133" s="40"/>
      <c r="D133" s="42"/>
      <c r="E133" s="41"/>
      <c r="F133" s="44"/>
      <c r="G133" s="27" t="str">
        <f t="shared" si="4"/>
        <v/>
      </c>
    </row>
    <row r="134" spans="2:7" ht="16.5" customHeight="1" x14ac:dyDescent="0.2">
      <c r="B134" s="39"/>
      <c r="C134" s="40"/>
      <c r="D134" s="39"/>
      <c r="E134" s="41"/>
      <c r="F134" s="44"/>
      <c r="G134" s="27" t="str">
        <f t="shared" si="4"/>
        <v/>
      </c>
    </row>
    <row r="135" spans="2:7" ht="16.5" customHeight="1" x14ac:dyDescent="0.2">
      <c r="B135" s="42"/>
      <c r="C135" s="40"/>
      <c r="D135" s="42"/>
      <c r="E135" s="41"/>
      <c r="F135" s="44"/>
      <c r="G135" s="27" t="str">
        <f t="shared" si="4"/>
        <v/>
      </c>
    </row>
    <row r="136" spans="2:7" ht="16.5" customHeight="1" x14ac:dyDescent="0.2">
      <c r="B136" s="39"/>
      <c r="C136" s="40"/>
      <c r="D136" s="39"/>
      <c r="E136" s="41"/>
      <c r="F136" s="44"/>
      <c r="G136" s="27" t="str">
        <f t="shared" si="4"/>
        <v/>
      </c>
    </row>
    <row r="137" spans="2:7" ht="16.5" customHeight="1" x14ac:dyDescent="0.2">
      <c r="B137" s="42"/>
      <c r="C137" s="40"/>
      <c r="D137" s="42"/>
      <c r="E137" s="41"/>
      <c r="F137" s="44"/>
      <c r="G137" s="27" t="str">
        <f t="shared" si="4"/>
        <v/>
      </c>
    </row>
    <row r="138" spans="2:7" ht="16.5" customHeight="1" x14ac:dyDescent="0.2">
      <c r="B138" s="39"/>
      <c r="C138" s="40"/>
      <c r="D138" s="39"/>
      <c r="E138" s="41"/>
      <c r="F138" s="44"/>
      <c r="G138" s="27" t="str">
        <f t="shared" si="4"/>
        <v/>
      </c>
    </row>
    <row r="139" spans="2:7" ht="16.5" customHeight="1" x14ac:dyDescent="0.2">
      <c r="B139" s="42"/>
      <c r="C139" s="40"/>
      <c r="D139" s="42"/>
      <c r="E139" s="41"/>
      <c r="F139" s="44"/>
      <c r="G139" s="27" t="str">
        <f t="shared" si="4"/>
        <v/>
      </c>
    </row>
    <row r="140" spans="2:7" ht="16.5" customHeight="1" x14ac:dyDescent="0.2">
      <c r="B140" s="39"/>
      <c r="C140" s="40"/>
      <c r="D140" s="39"/>
      <c r="E140" s="41"/>
      <c r="F140" s="44"/>
      <c r="G140" s="27" t="str">
        <f t="shared" si="4"/>
        <v/>
      </c>
    </row>
    <row r="141" spans="2:7" ht="16.5" customHeight="1" x14ac:dyDescent="0.2">
      <c r="B141" s="42"/>
      <c r="C141" s="40"/>
      <c r="D141" s="42"/>
      <c r="E141" s="41"/>
      <c r="F141" s="44"/>
      <c r="G141" s="27" t="str">
        <f t="shared" si="4"/>
        <v/>
      </c>
    </row>
    <row r="142" spans="2:7" ht="16.5" customHeight="1" x14ac:dyDescent="0.2">
      <c r="B142" s="39"/>
      <c r="C142" s="40"/>
      <c r="D142" s="39"/>
      <c r="E142" s="41"/>
      <c r="F142" s="44"/>
      <c r="G142" s="27" t="str">
        <f t="shared" si="4"/>
        <v/>
      </c>
    </row>
    <row r="143" spans="2:7" ht="16.5" customHeight="1" x14ac:dyDescent="0.2">
      <c r="B143" s="42"/>
      <c r="C143" s="40"/>
      <c r="D143" s="42"/>
      <c r="E143" s="41"/>
      <c r="F143" s="44"/>
      <c r="G143" s="27" t="str">
        <f t="shared" si="4"/>
        <v/>
      </c>
    </row>
    <row r="144" spans="2:7" ht="16.5" customHeight="1" x14ac:dyDescent="0.2">
      <c r="B144" s="39"/>
      <c r="C144" s="40"/>
      <c r="D144" s="39"/>
      <c r="E144" s="41"/>
      <c r="F144" s="44"/>
      <c r="G144" s="27" t="str">
        <f t="shared" si="4"/>
        <v/>
      </c>
    </row>
    <row r="145" spans="2:7" ht="16.5" customHeight="1" x14ac:dyDescent="0.2">
      <c r="B145" s="42"/>
      <c r="C145" s="40"/>
      <c r="D145" s="42"/>
      <c r="E145" s="41"/>
      <c r="F145" s="44"/>
      <c r="G145" s="27" t="str">
        <f t="shared" si="4"/>
        <v/>
      </c>
    </row>
    <row r="146" spans="2:7" ht="16.5" customHeight="1" x14ac:dyDescent="0.2">
      <c r="B146" s="39"/>
      <c r="C146" s="40"/>
      <c r="D146" s="39"/>
      <c r="E146" s="41"/>
      <c r="F146" s="44"/>
      <c r="G146" s="27" t="str">
        <f t="shared" si="4"/>
        <v/>
      </c>
    </row>
    <row r="147" spans="2:7" ht="16.5" customHeight="1" x14ac:dyDescent="0.2">
      <c r="B147" s="42"/>
      <c r="C147" s="40"/>
      <c r="D147" s="42"/>
      <c r="E147" s="41"/>
      <c r="F147" s="44"/>
      <c r="G147" s="27" t="str">
        <f t="shared" si="4"/>
        <v/>
      </c>
    </row>
    <row r="148" spans="2:7" ht="16.5" customHeight="1" x14ac:dyDescent="0.2">
      <c r="B148" s="39"/>
      <c r="C148" s="40"/>
      <c r="D148" s="39"/>
      <c r="E148" s="41"/>
      <c r="F148" s="44"/>
      <c r="G148" s="27" t="str">
        <f t="shared" ref="G148:G179" si="5">IF(E148="","",E148+F148)</f>
        <v/>
      </c>
    </row>
    <row r="149" spans="2:7" ht="16.5" customHeight="1" x14ac:dyDescent="0.2">
      <c r="B149" s="42"/>
      <c r="C149" s="40"/>
      <c r="D149" s="42"/>
      <c r="E149" s="41"/>
      <c r="F149" s="44"/>
      <c r="G149" s="27" t="str">
        <f t="shared" si="5"/>
        <v/>
      </c>
    </row>
    <row r="150" spans="2:7" ht="16.5" customHeight="1" x14ac:dyDescent="0.2">
      <c r="B150" s="39"/>
      <c r="C150" s="40"/>
      <c r="D150" s="39"/>
      <c r="E150" s="41"/>
      <c r="F150" s="44"/>
      <c r="G150" s="27" t="str">
        <f t="shared" si="5"/>
        <v/>
      </c>
    </row>
    <row r="151" spans="2:7" ht="16.5" customHeight="1" x14ac:dyDescent="0.2">
      <c r="B151" s="42"/>
      <c r="C151" s="40"/>
      <c r="D151" s="42"/>
      <c r="E151" s="41"/>
      <c r="F151" s="44"/>
      <c r="G151" s="27" t="str">
        <f t="shared" si="5"/>
        <v/>
      </c>
    </row>
    <row r="152" spans="2:7" ht="16.5" customHeight="1" x14ac:dyDescent="0.2">
      <c r="B152" s="39"/>
      <c r="C152" s="40"/>
      <c r="D152" s="39"/>
      <c r="E152" s="41"/>
      <c r="F152" s="44"/>
      <c r="G152" s="27" t="str">
        <f t="shared" si="5"/>
        <v/>
      </c>
    </row>
    <row r="153" spans="2:7" ht="16.5" customHeight="1" x14ac:dyDescent="0.2">
      <c r="B153" s="42"/>
      <c r="C153" s="40"/>
      <c r="D153" s="42"/>
      <c r="E153" s="41"/>
      <c r="F153" s="44"/>
      <c r="G153" s="27" t="str">
        <f t="shared" si="5"/>
        <v/>
      </c>
    </row>
    <row r="154" spans="2:7" ht="16.5" customHeight="1" x14ac:dyDescent="0.2">
      <c r="B154" s="39"/>
      <c r="C154" s="40"/>
      <c r="D154" s="39"/>
      <c r="E154" s="41"/>
      <c r="F154" s="44"/>
      <c r="G154" s="27" t="str">
        <f t="shared" si="5"/>
        <v/>
      </c>
    </row>
    <row r="155" spans="2:7" ht="16.5" customHeight="1" x14ac:dyDescent="0.2">
      <c r="B155" s="42"/>
      <c r="C155" s="40"/>
      <c r="D155" s="42"/>
      <c r="E155" s="41"/>
      <c r="F155" s="44"/>
      <c r="G155" s="27" t="str">
        <f t="shared" si="5"/>
        <v/>
      </c>
    </row>
    <row r="156" spans="2:7" ht="16.5" customHeight="1" x14ac:dyDescent="0.2">
      <c r="B156" s="39"/>
      <c r="C156" s="40"/>
      <c r="D156" s="39"/>
      <c r="E156" s="41"/>
      <c r="F156" s="44"/>
      <c r="G156" s="27" t="str">
        <f t="shared" si="5"/>
        <v/>
      </c>
    </row>
    <row r="157" spans="2:7" ht="16.5" customHeight="1" x14ac:dyDescent="0.2">
      <c r="B157" s="42"/>
      <c r="C157" s="40"/>
      <c r="D157" s="42"/>
      <c r="E157" s="41"/>
      <c r="F157" s="44"/>
      <c r="G157" s="27" t="str">
        <f t="shared" si="5"/>
        <v/>
      </c>
    </row>
    <row r="158" spans="2:7" ht="16.5" customHeight="1" x14ac:dyDescent="0.2">
      <c r="B158" s="39"/>
      <c r="C158" s="40"/>
      <c r="D158" s="39"/>
      <c r="E158" s="41"/>
      <c r="F158" s="44"/>
      <c r="G158" s="27" t="str">
        <f t="shared" si="5"/>
        <v/>
      </c>
    </row>
    <row r="159" spans="2:7" ht="16.5" customHeight="1" x14ac:dyDescent="0.2">
      <c r="B159" s="42"/>
      <c r="C159" s="40"/>
      <c r="D159" s="42"/>
      <c r="E159" s="41"/>
      <c r="F159" s="44"/>
      <c r="G159" s="27" t="str">
        <f t="shared" si="5"/>
        <v/>
      </c>
    </row>
    <row r="160" spans="2:7" ht="21.75" customHeight="1" x14ac:dyDescent="0.2">
      <c r="B160" s="5" t="s">
        <v>40</v>
      </c>
      <c r="C160" s="5"/>
      <c r="D160" s="5"/>
      <c r="E160" s="43">
        <f>SUM(E10:E159)</f>
        <v>21785.5</v>
      </c>
      <c r="F160" s="43">
        <f>SUM(F10:F159)</f>
        <v>1960.7</v>
      </c>
      <c r="G160" s="43">
        <f>SUM(G10:G159)</f>
        <v>23746.199999999997</v>
      </c>
    </row>
  </sheetData>
  <mergeCells count="10">
    <mergeCell ref="B7:C7"/>
    <mergeCell ref="D7:E7"/>
    <mergeCell ref="F7:G7"/>
    <mergeCell ref="B19:G19"/>
    <mergeCell ref="B160:D160"/>
    <mergeCell ref="B2:G2"/>
    <mergeCell ref="B3:G3"/>
    <mergeCell ref="B6:C6"/>
    <mergeCell ref="D6:E6"/>
    <mergeCell ref="F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392B"/>
  </sheetPr>
  <dimension ref="B1:I19"/>
  <sheetViews>
    <sheetView showGridLines="0" zoomScale="95" zoomScaleNormal="95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ColWidth="8.6640625" defaultRowHeight="15" x14ac:dyDescent="0.2"/>
  <cols>
    <col min="1" max="1" width="0.83203125" customWidth="1"/>
    <col min="2" max="2" width="14" customWidth="1"/>
    <col min="3" max="3" width="16" customWidth="1"/>
    <col min="4" max="6" width="18" customWidth="1"/>
    <col min="7" max="7" width="0.83203125" customWidth="1"/>
    <col min="8" max="9" width="0.1640625" customWidth="1"/>
  </cols>
  <sheetData>
    <row r="1" spans="2:9" ht="6" customHeight="1" x14ac:dyDescent="0.2"/>
    <row r="2" spans="2:9" ht="37.5" customHeight="1" x14ac:dyDescent="0.2">
      <c r="B2" s="12" t="s">
        <v>47</v>
      </c>
      <c r="C2" s="12"/>
      <c r="D2" s="12"/>
      <c r="E2" s="12"/>
      <c r="F2" s="12"/>
    </row>
    <row r="3" spans="2:9" ht="18" customHeight="1" x14ac:dyDescent="0.2">
      <c r="B3" s="11" t="s">
        <v>48</v>
      </c>
      <c r="C3" s="11"/>
      <c r="D3" s="11"/>
      <c r="E3" s="11"/>
      <c r="F3" s="11"/>
    </row>
    <row r="4" spans="2:9" ht="7.5" customHeight="1" x14ac:dyDescent="0.2"/>
    <row r="5" spans="2:9" ht="6" customHeight="1" x14ac:dyDescent="0.2"/>
    <row r="6" spans="2:9" ht="15.75" customHeight="1" x14ac:dyDescent="0.2">
      <c r="B6" s="13" t="s">
        <v>49</v>
      </c>
      <c r="C6" s="10" t="s">
        <v>50</v>
      </c>
      <c r="D6" s="10"/>
      <c r="E6" s="3" t="s">
        <v>5</v>
      </c>
      <c r="F6" s="3"/>
    </row>
    <row r="7" spans="2:9" ht="27.75" customHeight="1" x14ac:dyDescent="0.2">
      <c r="B7" s="15">
        <f>COUNTIF(C10:C18,"&gt;"&amp;0)</f>
        <v>9</v>
      </c>
      <c r="C7" s="8">
        <f>SUM(C10:C18)</f>
        <v>27</v>
      </c>
      <c r="D7" s="8"/>
      <c r="E7" s="1">
        <f>SUM(F10:F18)</f>
        <v>38238.92</v>
      </c>
      <c r="F7" s="1"/>
    </row>
    <row r="8" spans="2:9" ht="7.5" customHeight="1" x14ac:dyDescent="0.2"/>
    <row r="9" spans="2:9" ht="27.75" customHeight="1" x14ac:dyDescent="0.2">
      <c r="B9" s="18" t="s">
        <v>7</v>
      </c>
      <c r="C9" s="18" t="s">
        <v>51</v>
      </c>
      <c r="D9" s="20" t="s">
        <v>10</v>
      </c>
      <c r="E9" s="20" t="s">
        <v>11</v>
      </c>
      <c r="F9" s="20" t="s">
        <v>5</v>
      </c>
      <c r="H9" t="s">
        <v>52</v>
      </c>
      <c r="I9" t="s">
        <v>53</v>
      </c>
    </row>
    <row r="10" spans="2:9" ht="19.5" customHeight="1" x14ac:dyDescent="0.2">
      <c r="B10" s="45" t="s">
        <v>13</v>
      </c>
      <c r="C10" s="23">
        <v>2</v>
      </c>
      <c r="D10" s="25">
        <v>640</v>
      </c>
      <c r="E10" s="26">
        <v>35.200000000000003</v>
      </c>
      <c r="F10" s="46">
        <f t="shared" ref="F10:F18" si="0">IF(D10="","",D10+E10)</f>
        <v>675.2</v>
      </c>
      <c r="H10" t="s">
        <v>13</v>
      </c>
      <c r="I10">
        <v>0</v>
      </c>
    </row>
    <row r="11" spans="2:9" ht="19.5" customHeight="1" x14ac:dyDescent="0.2">
      <c r="B11" s="47" t="s">
        <v>16</v>
      </c>
      <c r="C11" s="30">
        <v>1</v>
      </c>
      <c r="D11" s="25">
        <v>850</v>
      </c>
      <c r="E11" s="26">
        <v>51</v>
      </c>
      <c r="F11" s="46">
        <f t="shared" si="0"/>
        <v>901</v>
      </c>
      <c r="H11" t="s">
        <v>16</v>
      </c>
      <c r="I11">
        <v>0</v>
      </c>
    </row>
    <row r="12" spans="2:9" ht="19.5" customHeight="1" x14ac:dyDescent="0.2">
      <c r="B12" s="48" t="s">
        <v>19</v>
      </c>
      <c r="C12" s="23">
        <v>3</v>
      </c>
      <c r="D12" s="25">
        <v>1426.5</v>
      </c>
      <c r="E12" s="26">
        <v>92.72</v>
      </c>
      <c r="F12" s="46">
        <f t="shared" si="0"/>
        <v>1519.22</v>
      </c>
      <c r="H12" t="s">
        <v>19</v>
      </c>
      <c r="I12">
        <v>0</v>
      </c>
    </row>
    <row r="13" spans="2:9" ht="19.5" customHeight="1" x14ac:dyDescent="0.2">
      <c r="B13" s="49" t="s">
        <v>22</v>
      </c>
      <c r="C13" s="30">
        <v>1</v>
      </c>
      <c r="D13" s="25">
        <v>1200</v>
      </c>
      <c r="E13" s="26">
        <v>84</v>
      </c>
      <c r="F13" s="46">
        <f t="shared" si="0"/>
        <v>1284</v>
      </c>
      <c r="H13" t="s">
        <v>22</v>
      </c>
      <c r="I13">
        <v>0</v>
      </c>
    </row>
    <row r="14" spans="2:9" ht="19.5" customHeight="1" x14ac:dyDescent="0.2">
      <c r="B14" s="50" t="s">
        <v>25</v>
      </c>
      <c r="C14" s="23">
        <v>4</v>
      </c>
      <c r="D14" s="25">
        <v>2760</v>
      </c>
      <c r="E14" s="26">
        <v>207</v>
      </c>
      <c r="F14" s="46">
        <f t="shared" si="0"/>
        <v>2967</v>
      </c>
      <c r="H14" t="s">
        <v>25</v>
      </c>
      <c r="I14">
        <v>0</v>
      </c>
    </row>
    <row r="15" spans="2:9" ht="19.5" customHeight="1" x14ac:dyDescent="0.2">
      <c r="B15" s="51" t="s">
        <v>28</v>
      </c>
      <c r="C15" s="30">
        <v>2</v>
      </c>
      <c r="D15" s="25">
        <v>2100</v>
      </c>
      <c r="E15" s="26">
        <v>168</v>
      </c>
      <c r="F15" s="46">
        <f t="shared" si="0"/>
        <v>2268</v>
      </c>
      <c r="H15" t="s">
        <v>28</v>
      </c>
      <c r="I15">
        <v>0</v>
      </c>
    </row>
    <row r="16" spans="2:9" ht="19.5" customHeight="1" x14ac:dyDescent="0.2">
      <c r="B16" s="52" t="s">
        <v>31</v>
      </c>
      <c r="C16" s="23">
        <v>3</v>
      </c>
      <c r="D16" s="25">
        <v>5600</v>
      </c>
      <c r="E16" s="26">
        <v>504</v>
      </c>
      <c r="F16" s="46">
        <f t="shared" si="0"/>
        <v>6104</v>
      </c>
      <c r="H16" t="s">
        <v>31</v>
      </c>
      <c r="I16">
        <v>0</v>
      </c>
    </row>
    <row r="17" spans="2:9" ht="19.5" customHeight="1" x14ac:dyDescent="0.2">
      <c r="B17" s="53" t="s">
        <v>34</v>
      </c>
      <c r="C17" s="30">
        <v>5</v>
      </c>
      <c r="D17" s="25">
        <v>7700</v>
      </c>
      <c r="E17" s="26">
        <v>808.5</v>
      </c>
      <c r="F17" s="46">
        <f t="shared" si="0"/>
        <v>8508.5</v>
      </c>
      <c r="H17" t="s">
        <v>34</v>
      </c>
      <c r="I17">
        <v>0</v>
      </c>
    </row>
    <row r="18" spans="2:9" ht="19.5" customHeight="1" x14ac:dyDescent="0.2">
      <c r="B18" s="54" t="s">
        <v>37</v>
      </c>
      <c r="C18" s="23">
        <v>6</v>
      </c>
      <c r="D18" s="25">
        <v>12400</v>
      </c>
      <c r="E18" s="26">
        <v>1612</v>
      </c>
      <c r="F18" s="46">
        <f t="shared" si="0"/>
        <v>14012</v>
      </c>
      <c r="H18" t="s">
        <v>37</v>
      </c>
      <c r="I18">
        <v>0</v>
      </c>
    </row>
    <row r="19" spans="2:9" ht="21.75" customHeight="1" x14ac:dyDescent="0.2">
      <c r="B19" s="55" t="s">
        <v>40</v>
      </c>
      <c r="C19" s="55">
        <f>SUM(C10:C18)</f>
        <v>27</v>
      </c>
      <c r="D19" s="43">
        <f>SUM(D10:D18)</f>
        <v>34676.5</v>
      </c>
      <c r="E19" s="43">
        <f>SUM(E10:E18)</f>
        <v>3562.42</v>
      </c>
      <c r="F19" s="43">
        <f>SUM(F10:F18)</f>
        <v>38238.92</v>
      </c>
    </row>
  </sheetData>
  <mergeCells count="6">
    <mergeCell ref="B2:F2"/>
    <mergeCell ref="B3:F3"/>
    <mergeCell ref="C6:D6"/>
    <mergeCell ref="E6:F6"/>
    <mergeCell ref="C7:D7"/>
    <mergeCell ref="E7:F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Executivo</vt:lpstr>
      <vt:lpstr>Detalhamento por Cliente</vt:lpstr>
      <vt:lpstr>Análise por Etapa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a12977</cp:lastModifiedBy>
  <cp:revision>3</cp:revision>
  <dcterms:created xsi:type="dcterms:W3CDTF">2026-05-27T22:41:42Z</dcterms:created>
  <dcterms:modified xsi:type="dcterms:W3CDTF">2026-05-27T22:49:18Z</dcterms:modified>
  <dc:language>en-US</dc:language>
</cp:coreProperties>
</file>