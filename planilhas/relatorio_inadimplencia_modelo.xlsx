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karol/Documents/Dashboard-Ativuz/planilhas/"/>
    </mc:Choice>
  </mc:AlternateContent>
  <xr:revisionPtr revIDLastSave="0" documentId="13_ncr:1_{0BFEF528-7291-F94B-AF1E-34E90F2EB588}" xr6:coauthVersionLast="47" xr6:coauthVersionMax="47" xr10:uidLastSave="{00000000-0000-0000-0000-000000000000}"/>
  <bookViews>
    <workbookView xWindow="0" yWindow="660" windowWidth="29400" windowHeight="17220" activeTab="1" xr2:uid="{00000000-000D-0000-FFFF-FFFF00000000}"/>
  </bookViews>
  <sheets>
    <sheet name="Resumo Executivo" sheetId="1" r:id="rId1"/>
    <sheet name="Detalhamento por Cliente" sheetId="2" r:id="rId2"/>
    <sheet name="Análise por Etap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H5" i="1"/>
  <c r="E16" i="3"/>
  <c r="D16" i="3"/>
  <c r="F14" i="3"/>
  <c r="F13" i="3"/>
  <c r="F12" i="3"/>
  <c r="F11" i="3"/>
  <c r="F10" i="3"/>
  <c r="F9" i="3"/>
  <c r="F8" i="3"/>
  <c r="F7" i="3"/>
  <c r="F6" i="3"/>
  <c r="F16" i="3" s="1"/>
  <c r="G126" i="2"/>
  <c r="F126" i="2"/>
  <c r="H9" i="2"/>
  <c r="H8" i="2"/>
  <c r="H7" i="2"/>
  <c r="H6" i="2"/>
  <c r="I105" i="1"/>
  <c r="H105" i="1"/>
  <c r="F105" i="1"/>
  <c r="E5" i="1"/>
  <c r="C5" i="1"/>
  <c r="H126" i="2" l="1"/>
</calcChain>
</file>

<file path=xl/sharedStrings.xml><?xml version="1.0" encoding="utf-8"?>
<sst xmlns="http://schemas.openxmlformats.org/spreadsheetml/2006/main" count="67" uniqueCount="40">
  <si>
    <t>RELATÓRIO DE INADIMPLÊNCIA</t>
  </si>
  <si>
    <t>ATIVUZ VEÍCULOS  ·  Gerado em: 14/05/2026</t>
  </si>
  <si>
    <t>CLIENTES EM ATRASO</t>
  </si>
  <si>
    <t>VALOR ORIGINAL TOTAL</t>
  </si>
  <si>
    <t>TOTAL DE JUROS</t>
  </si>
  <si>
    <t>TOTAL ATUALIZADO</t>
  </si>
  <si>
    <t>CLIENTE</t>
  </si>
  <si>
    <t>ETAPA</t>
  </si>
  <si>
    <t>VENCIMENTO</t>
  </si>
  <si>
    <t>ATRASO
(dias)</t>
  </si>
  <si>
    <t>VALOR ORIGINAL</t>
  </si>
  <si>
    <t>JUROS MORA</t>
  </si>
  <si>
    <t>RICARDO ARAUJO DE MIRANDA</t>
  </si>
  <si>
    <t>D+15</t>
  </si>
  <si>
    <t>08/10/2025</t>
  </si>
  <si>
    <t>LEONARDO GOMES DO NASCIMENTO</t>
  </si>
  <si>
    <t>30/03/2026</t>
  </si>
  <si>
    <t>NOME DO CLIENTE 3</t>
  </si>
  <si>
    <t>D+10</t>
  </si>
  <si>
    <t>15/02/2026</t>
  </si>
  <si>
    <t>NOME DO CLIENTE 4</t>
  </si>
  <si>
    <t>D+7</t>
  </si>
  <si>
    <t>20/01/2026</t>
  </si>
  <si>
    <t>NOME DO CLIENTE 5</t>
  </si>
  <si>
    <t>D+5</t>
  </si>
  <si>
    <t>10/04/2026</t>
  </si>
  <si>
    <t>TOTAIS</t>
  </si>
  <si>
    <t>LEGENDA DE CORES — Atraso: ■ Vermelho ≥180 dias   ■ Laranja 60-179 dias   ■ Amarelo &lt;60 dias   |   Valor: ■ Azul = Original   ■ Vermelho = Juros   ■ Verde = Total</t>
  </si>
  <si>
    <t>DETALHAMENTO POR CLIENTE — COBRANÇAS EM ABERTO</t>
  </si>
  <si>
    <t>DIAS EM ATRASO</t>
  </si>
  <si>
    <t>JUROS MORA (0,5%/dia)</t>
  </si>
  <si>
    <t>TOTAL GERAL</t>
  </si>
  <si>
    <t>ANÁLISE POR ETAPA DE COBRANÇA</t>
  </si>
  <si>
    <t>Nº CLIENTES</t>
  </si>
  <si>
    <t>D+0</t>
  </si>
  <si>
    <t>D+1</t>
  </si>
  <si>
    <t>D+2</t>
  </si>
  <si>
    <t>D+3</t>
  </si>
  <si>
    <t>D+4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</si>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</sst>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\R\$\ #,##0.00"/>
  </numFmts>
  <fonts count="24" x14ac:knownFonts="1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sz val="10"/>
      <color rgb="FFAAAAAA"/>
      <name val="Arial"/>
      <family val="2"/>
    </font>
    <font>
      <b/>
      <sz val="14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C3E50"/>
      <name val="Arial"/>
      <family val="2"/>
    </font>
    <font>
      <sz val="9"/>
      <name val="Arial"/>
      <family val="2"/>
    </font>
    <font>
      <b/>
      <sz val="9"/>
      <color rgb="FF2E86C1"/>
      <name val="Arial"/>
      <family val="2"/>
    </font>
    <font>
      <b/>
      <sz val="9"/>
      <color rgb="FFC0392B"/>
      <name val="Arial"/>
      <family val="2"/>
    </font>
    <font>
      <b/>
      <sz val="9"/>
      <color rgb="FF1E8449"/>
      <name val="Arial"/>
      <family val="2"/>
    </font>
    <font>
      <b/>
      <sz val="10"/>
      <color rgb="FFFFFFFF"/>
      <name val="Arial"/>
      <family val="2"/>
    </font>
    <font>
      <i/>
      <sz val="8"/>
      <color rgb="FF7F8C8D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color rgb="FFFFFFFF"/>
      <name val="Arial"/>
      <family val="2"/>
    </font>
    <font>
      <b/>
      <sz val="20"/>
      <color rgb="FFFFFFFF"/>
      <name val="Arial"/>
      <family val="2"/>
    </font>
    <font>
      <sz val="10"/>
      <color rgb="FFAAAAAA"/>
      <name val="Arial"/>
      <family val="2"/>
    </font>
    <font>
      <sz val="11"/>
      <color theme="1"/>
      <name val="Calibri"/>
      <family val="2"/>
      <scheme val="minor"/>
    </font>
    <font>
      <b/>
      <sz val="9"/>
      <color theme="3"/>
      <name val="Arial"/>
      <family val="2"/>
    </font>
    <font>
      <sz val="11"/>
      <color theme="3"/>
      <name val="Calibri"/>
      <family val="2"/>
      <scheme val="minor"/>
    </font>
    <font>
      <b/>
      <sz val="9"/>
      <color theme="5"/>
      <name val="Arial"/>
      <family val="2"/>
    </font>
    <font>
      <sz val="11"/>
      <color theme="5"/>
      <name val="Calibri"/>
      <family val="2"/>
      <scheme val="minor"/>
    </font>
    <font>
      <b/>
      <sz val="9"/>
      <color rgb="FF00B050"/>
      <name val="Arial"/>
      <family val="2"/>
    </font>
    <font>
      <sz val="11"/>
      <color rgb="FF00B05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0D2340"/>
      </patternFill>
    </fill>
    <fill>
      <patternFill patternType="solid">
        <fgColor rgb="FF1A5276"/>
      </patternFill>
    </fill>
    <fill>
      <patternFill patternType="solid">
        <fgColor rgb="FFC0392B"/>
      </patternFill>
    </fill>
    <fill>
      <patternFill patternType="solid">
        <fgColor rgb="FFE67E22"/>
      </patternFill>
    </fill>
    <fill>
      <patternFill patternType="solid">
        <fgColor rgb="FF1E8449"/>
      </patternFill>
    </fill>
    <fill>
      <patternFill patternType="solid">
        <fgColor rgb="FFD6EAF8"/>
      </patternFill>
    </fill>
    <fill>
      <patternFill patternType="solid">
        <fgColor rgb="FFFADBD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FFFFF"/>
      </patternFill>
    </fill>
    <fill>
      <patternFill patternType="solid">
        <fgColor rgb="FF27AE60"/>
      </patternFill>
    </fill>
    <fill>
      <patternFill patternType="solid">
        <fgColor rgb="FF2ECC71"/>
      </patternFill>
    </fill>
    <fill>
      <patternFill patternType="solid">
        <fgColor rgb="FFF1C40F"/>
      </patternFill>
    </fill>
    <fill>
      <patternFill patternType="solid">
        <fgColor rgb="FFE74C3C"/>
      </patternFill>
    </fill>
    <fill>
      <patternFill patternType="solid">
        <fgColor rgb="FF922B21"/>
      </patternFill>
    </fill>
    <fill>
      <patternFill patternType="solid">
        <fgColor rgb="FF7B241C"/>
      </patternFill>
    </fill>
    <fill>
      <patternFill patternType="solid">
        <fgColor rgb="FF641E16"/>
      </patternFill>
    </fill>
    <fill>
      <patternFill patternType="solid">
        <fgColor theme="0"/>
        <bgColor indexed="64"/>
      </patternFill>
    </fill>
    <fill>
      <patternFill patternType="solid">
        <fgColor rgb="FFD7EAF9"/>
        <bgColor indexed="64"/>
      </patternFill>
    </fill>
    <fill>
      <patternFill patternType="solid">
        <fgColor rgb="FFFBDBD9"/>
        <bgColor indexed="64"/>
      </patternFill>
    </fill>
    <fill>
      <patternFill patternType="solid">
        <fgColor rgb="FFD5F5E3"/>
        <bgColor indexed="64"/>
      </patternFill>
    </fill>
  </fills>
  <borders count="37">
    <border>
      <left/>
      <right/>
      <top/>
      <bottom/>
      <diagonal/>
    </border>
    <border>
      <left style="medium">
        <color rgb="FF1A3A5C"/>
      </left>
      <right style="medium">
        <color rgb="FF1A3A5C"/>
      </right>
      <top style="medium">
        <color rgb="FF1A3A5C"/>
      </top>
      <bottom style="medium">
        <color rgb="FF1A3A5C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/>
      <bottom/>
      <diagonal/>
    </border>
    <border>
      <left/>
      <right style="thin">
        <color rgb="FFBDBDBD"/>
      </right>
      <top/>
      <bottom/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rgb="FFBDBDBD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rgb="FFBDBDBD"/>
      </top>
      <bottom style="thin">
        <color theme="0" tint="-0.249977111117893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DBDBD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rgb="FFBDBDBD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DBDBD"/>
      </left>
      <right/>
      <top/>
      <bottom style="thin">
        <color theme="0" tint="-0.249977111117893"/>
      </bottom>
      <diagonal/>
    </border>
    <border>
      <left/>
      <right style="thin">
        <color rgb="FFBDBDBD"/>
      </right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rgb="FFBDBDBD"/>
      </left>
      <right style="thin">
        <color theme="0" tint="-0.249977111117893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 style="thin">
        <color theme="0" tint="-0.249977111117893"/>
      </top>
      <bottom/>
      <diagonal/>
    </border>
    <border>
      <left/>
      <right style="thin">
        <color rgb="FFBDBDBD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rgb="FF1A3A5C"/>
      </right>
      <top style="thin">
        <color theme="0" tint="-0.249977111117893"/>
      </top>
      <bottom style="medium">
        <color rgb="FF1A3A5C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medium">
        <color rgb="FF1A3A5C"/>
      </right>
      <top style="thin">
        <color theme="0" tint="-0.249977111117893"/>
      </top>
      <bottom/>
      <diagonal/>
    </border>
    <border>
      <left style="medium">
        <color rgb="FF1A3A5C"/>
      </left>
      <right/>
      <top style="thin">
        <color theme="0" tint="-0.249977111117893"/>
      </top>
      <bottom/>
      <diagonal/>
    </border>
    <border>
      <left style="medium">
        <color rgb="FF1A3A5C"/>
      </left>
      <right style="medium">
        <color rgb="FF1A3A5C"/>
      </right>
      <top style="thin">
        <color theme="0" tint="-0.249977111117893"/>
      </top>
      <bottom style="medium">
        <color rgb="FF1A3A5C"/>
      </bottom>
      <diagonal/>
    </border>
    <border>
      <left style="medium">
        <color rgb="FF1A3A5C"/>
      </left>
      <right style="thin">
        <color theme="0" tint="-0.249977111117893"/>
      </right>
      <top style="thin">
        <color theme="0" tint="-0.249977111117893"/>
      </top>
      <bottom style="medium">
        <color rgb="FF1A3A5C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rgb="FFBDBDBD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</borders>
  <cellStyleXfs count="2">
    <xf numFmtId="0" fontId="0" fillId="0" borderId="0"/>
    <xf numFmtId="44" fontId="17" fillId="0" borderId="0" applyFont="0" applyFill="0" applyBorder="0" applyAlignment="0" applyProtection="0"/>
  </cellStyleXfs>
  <cellXfs count="114">
    <xf numFmtId="0" fontId="0" fillId="0" borderId="0" xfId="0"/>
    <xf numFmtId="0" fontId="4" fillId="5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164" fontId="7" fillId="8" borderId="2" xfId="0" applyNumberFormat="1" applyFont="1" applyFill="1" applyBorder="1" applyAlignment="1">
      <alignment horizontal="right" vertical="center"/>
    </xf>
    <xf numFmtId="164" fontId="8" fillId="9" borderId="2" xfId="0" applyNumberFormat="1" applyFont="1" applyFill="1" applyBorder="1" applyAlignment="1">
      <alignment horizontal="right" vertical="center"/>
    </xf>
    <xf numFmtId="164" fontId="9" fillId="10" borderId="2" xfId="0" applyNumberFormat="1" applyFont="1" applyFill="1" applyBorder="1" applyAlignment="1">
      <alignment horizontal="right" vertical="center"/>
    </xf>
    <xf numFmtId="0" fontId="6" fillId="12" borderId="2" xfId="0" applyFont="1" applyFill="1" applyBorder="1" applyAlignment="1">
      <alignment horizontal="center" vertical="center"/>
    </xf>
    <xf numFmtId="0" fontId="5" fillId="11" borderId="2" xfId="0" applyFont="1" applyFill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right" vertical="center"/>
    </xf>
    <xf numFmtId="0" fontId="4" fillId="4" borderId="2" xfId="0" applyFont="1" applyFill="1" applyBorder="1" applyAlignment="1">
      <alignment horizontal="center" vertical="center" wrapText="1"/>
    </xf>
    <xf numFmtId="0" fontId="12" fillId="12" borderId="2" xfId="0" applyFont="1" applyFill="1" applyBorder="1" applyAlignment="1">
      <alignment vertical="center"/>
    </xf>
    <xf numFmtId="0" fontId="10" fillId="13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0" fillId="14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9" borderId="2" xfId="0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1" fontId="14" fillId="4" borderId="0" xfId="0" applyNumberFormat="1" applyFont="1" applyFill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0" fontId="0" fillId="0" borderId="23" xfId="0" applyBorder="1"/>
    <xf numFmtId="0" fontId="4" fillId="6" borderId="5" xfId="0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0" fillId="0" borderId="14" xfId="0" applyBorder="1"/>
    <xf numFmtId="0" fontId="4" fillId="2" borderId="6" xfId="0" applyFont="1" applyFill="1" applyBorder="1" applyAlignment="1">
      <alignment horizontal="center" vertical="center" wrapText="1"/>
    </xf>
    <xf numFmtId="0" fontId="0" fillId="0" borderId="13" xfId="0" applyBorder="1"/>
    <xf numFmtId="164" fontId="10" fillId="2" borderId="31" xfId="0" applyNumberFormat="1" applyFont="1" applyFill="1" applyBorder="1" applyAlignment="1">
      <alignment horizontal="right" vertical="center"/>
    </xf>
    <xf numFmtId="164" fontId="10" fillId="2" borderId="32" xfId="0" applyNumberFormat="1" applyFont="1" applyFill="1" applyBorder="1" applyAlignment="1">
      <alignment horizontal="right" vertical="center"/>
    </xf>
    <xf numFmtId="0" fontId="4" fillId="20" borderId="2" xfId="0" applyFont="1" applyFill="1" applyBorder="1" applyAlignment="1">
      <alignment horizontal="center" vertical="center"/>
    </xf>
    <xf numFmtId="0" fontId="12" fillId="20" borderId="2" xfId="0" applyFont="1" applyFill="1" applyBorder="1" applyAlignment="1">
      <alignment vertical="center"/>
    </xf>
    <xf numFmtId="0" fontId="6" fillId="20" borderId="2" xfId="0" applyFont="1" applyFill="1" applyBorder="1" applyAlignment="1">
      <alignment horizontal="center" vertical="center"/>
    </xf>
    <xf numFmtId="44" fontId="8" fillId="9" borderId="2" xfId="1" applyFont="1" applyFill="1" applyBorder="1" applyAlignment="1">
      <alignment horizontal="right" vertical="center"/>
    </xf>
    <xf numFmtId="44" fontId="8" fillId="9" borderId="6" xfId="1" applyFont="1" applyFill="1" applyBorder="1" applyAlignment="1">
      <alignment horizontal="right" vertical="center"/>
    </xf>
    <xf numFmtId="44" fontId="7" fillId="8" borderId="2" xfId="1" applyFont="1" applyFill="1" applyBorder="1" applyAlignment="1">
      <alignment horizontal="right" vertical="center"/>
    </xf>
    <xf numFmtId="44" fontId="9" fillId="10" borderId="2" xfId="1" applyFont="1" applyFill="1" applyBorder="1" applyAlignment="1">
      <alignment horizontal="right" vertical="center"/>
    </xf>
    <xf numFmtId="0" fontId="11" fillId="0" borderId="0" xfId="0" applyFont="1" applyAlignment="1">
      <alignment horizontal="center" vertical="center"/>
    </xf>
    <xf numFmtId="0" fontId="0" fillId="0" borderId="0" xfId="0"/>
    <xf numFmtId="0" fontId="10" fillId="2" borderId="27" xfId="0" applyFont="1" applyFill="1" applyBorder="1" applyAlignment="1">
      <alignment horizontal="center" vertical="center"/>
    </xf>
    <xf numFmtId="0" fontId="0" fillId="0" borderId="28" xfId="0" applyBorder="1"/>
    <xf numFmtId="0" fontId="0" fillId="0" borderId="29" xfId="0" applyBorder="1"/>
    <xf numFmtId="0" fontId="14" fillId="5" borderId="0" xfId="0" applyFont="1" applyFill="1" applyAlignment="1">
      <alignment horizontal="center" vertical="center"/>
    </xf>
    <xf numFmtId="164" fontId="14" fillId="5" borderId="0" xfId="0" applyNumberFormat="1" applyFont="1" applyFill="1" applyAlignment="1">
      <alignment horizontal="center" vertical="center"/>
    </xf>
    <xf numFmtId="0" fontId="14" fillId="7" borderId="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164" fontId="14" fillId="7" borderId="3" xfId="0" applyNumberFormat="1" applyFont="1" applyFill="1" applyBorder="1" applyAlignment="1">
      <alignment horizontal="center" vertical="center"/>
    </xf>
    <xf numFmtId="164" fontId="14" fillId="7" borderId="0" xfId="0" applyNumberFormat="1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0" xfId="0" applyFont="1" applyFill="1" applyAlignment="1">
      <alignment horizontal="center" vertical="center"/>
    </xf>
    <xf numFmtId="0" fontId="14" fillId="6" borderId="4" xfId="0" applyFont="1" applyFill="1" applyBorder="1" applyAlignment="1">
      <alignment horizontal="center" vertical="center"/>
    </xf>
    <xf numFmtId="164" fontId="14" fillId="6" borderId="3" xfId="0" applyNumberFormat="1" applyFont="1" applyFill="1" applyBorder="1" applyAlignment="1">
      <alignment horizontal="center" vertical="center"/>
    </xf>
    <xf numFmtId="164" fontId="14" fillId="6" borderId="0" xfId="0" applyNumberFormat="1" applyFont="1" applyFill="1" applyAlignment="1">
      <alignment horizontal="center" vertical="center"/>
    </xf>
    <xf numFmtId="164" fontId="14" fillId="6" borderId="4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164" fontId="10" fillId="2" borderId="30" xfId="0" applyNumberFormat="1" applyFont="1" applyFill="1" applyBorder="1" applyAlignment="1">
      <alignment horizontal="center" vertical="center"/>
    </xf>
    <xf numFmtId="164" fontId="10" fillId="2" borderId="29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0" borderId="6" xfId="0" applyFont="1" applyFill="1" applyBorder="1" applyAlignment="1">
      <alignment vertical="center"/>
    </xf>
    <xf numFmtId="0" fontId="0" fillId="20" borderId="6" xfId="0" applyFill="1" applyBorder="1"/>
    <xf numFmtId="0" fontId="0" fillId="20" borderId="2" xfId="0" applyFill="1" applyBorder="1"/>
    <xf numFmtId="0" fontId="0" fillId="20" borderId="5" xfId="0" applyFill="1" applyBorder="1"/>
    <xf numFmtId="0" fontId="0" fillId="20" borderId="24" xfId="0" applyFill="1" applyBorder="1"/>
    <xf numFmtId="0" fontId="0" fillId="20" borderId="24" xfId="0" applyFont="1" applyFill="1" applyBorder="1"/>
    <xf numFmtId="0" fontId="0" fillId="20" borderId="7" xfId="0" applyFill="1" applyBorder="1"/>
    <xf numFmtId="0" fontId="0" fillId="20" borderId="35" xfId="0" applyFill="1" applyBorder="1"/>
    <xf numFmtId="0" fontId="0" fillId="20" borderId="10" xfId="0" applyFill="1" applyBorder="1"/>
    <xf numFmtId="0" fontId="0" fillId="20" borderId="8" xfId="0" applyFill="1" applyBorder="1"/>
    <xf numFmtId="0" fontId="0" fillId="20" borderId="9" xfId="0" applyFill="1" applyBorder="1"/>
    <xf numFmtId="0" fontId="0" fillId="20" borderId="34" xfId="0" applyFill="1" applyBorder="1"/>
    <xf numFmtId="0" fontId="0" fillId="20" borderId="33" xfId="0" applyFill="1" applyBorder="1"/>
    <xf numFmtId="44" fontId="18" fillId="21" borderId="17" xfId="1" applyFont="1" applyFill="1" applyBorder="1" applyAlignment="1">
      <alignment horizontal="center" vertical="center"/>
    </xf>
    <xf numFmtId="44" fontId="18" fillId="21" borderId="18" xfId="1" applyFont="1" applyFill="1" applyBorder="1" applyAlignment="1">
      <alignment horizontal="center" vertical="center"/>
    </xf>
    <xf numFmtId="44" fontId="18" fillId="21" borderId="25" xfId="1" applyFont="1" applyFill="1" applyBorder="1" applyAlignment="1">
      <alignment horizontal="center" vertical="center"/>
    </xf>
    <xf numFmtId="44" fontId="18" fillId="21" borderId="26" xfId="1" applyFont="1" applyFill="1" applyBorder="1" applyAlignment="1">
      <alignment horizontal="center" vertical="center"/>
    </xf>
    <xf numFmtId="44" fontId="18" fillId="21" borderId="11" xfId="1" applyFont="1" applyFill="1" applyBorder="1" applyAlignment="1">
      <alignment horizontal="center" vertical="center"/>
    </xf>
    <xf numFmtId="44" fontId="18" fillId="21" borderId="12" xfId="1" applyFont="1" applyFill="1" applyBorder="1" applyAlignment="1">
      <alignment horizontal="center" vertical="center"/>
    </xf>
    <xf numFmtId="0" fontId="19" fillId="21" borderId="11" xfId="0" applyFont="1" applyFill="1" applyBorder="1" applyAlignment="1">
      <alignment horizontal="center"/>
    </xf>
    <xf numFmtId="0" fontId="19" fillId="21" borderId="12" xfId="0" applyFont="1" applyFill="1" applyBorder="1" applyAlignment="1">
      <alignment horizontal="center"/>
    </xf>
    <xf numFmtId="0" fontId="19" fillId="21" borderId="17" xfId="0" applyFont="1" applyFill="1" applyBorder="1" applyAlignment="1">
      <alignment horizontal="center"/>
    </xf>
    <xf numFmtId="0" fontId="19" fillId="21" borderId="18" xfId="0" applyFont="1" applyFill="1" applyBorder="1" applyAlignment="1">
      <alignment horizontal="center"/>
    </xf>
    <xf numFmtId="0" fontId="19" fillId="21" borderId="3" xfId="0" applyFont="1" applyFill="1" applyBorder="1" applyAlignment="1">
      <alignment horizontal="center"/>
    </xf>
    <xf numFmtId="0" fontId="19" fillId="21" borderId="4" xfId="0" applyFont="1" applyFill="1" applyBorder="1" applyAlignment="1">
      <alignment horizontal="center"/>
    </xf>
    <xf numFmtId="0" fontId="19" fillId="21" borderId="19" xfId="0" applyFont="1" applyFill="1" applyBorder="1" applyAlignment="1">
      <alignment horizontal="center"/>
    </xf>
    <xf numFmtId="0" fontId="19" fillId="21" borderId="20" xfId="0" applyFont="1" applyFill="1" applyBorder="1" applyAlignment="1">
      <alignment horizontal="center"/>
    </xf>
    <xf numFmtId="0" fontId="19" fillId="21" borderId="21" xfId="0" applyFont="1" applyFill="1" applyBorder="1" applyAlignment="1">
      <alignment horizontal="center"/>
    </xf>
    <xf numFmtId="0" fontId="19" fillId="21" borderId="22" xfId="0" applyFont="1" applyFill="1" applyBorder="1" applyAlignment="1">
      <alignment horizontal="center"/>
    </xf>
    <xf numFmtId="0" fontId="19" fillId="21" borderId="15" xfId="0" applyFont="1" applyFill="1" applyBorder="1" applyAlignment="1">
      <alignment horizontal="center"/>
    </xf>
    <xf numFmtId="0" fontId="19" fillId="21" borderId="16" xfId="0" applyFont="1" applyFill="1" applyBorder="1" applyAlignment="1">
      <alignment horizontal="center"/>
    </xf>
    <xf numFmtId="0" fontId="19" fillId="21" borderId="13" xfId="0" applyFont="1" applyFill="1" applyBorder="1" applyAlignment="1">
      <alignment horizontal="center"/>
    </xf>
    <xf numFmtId="0" fontId="19" fillId="21" borderId="14" xfId="0" applyFont="1" applyFill="1" applyBorder="1" applyAlignment="1">
      <alignment horizontal="center"/>
    </xf>
    <xf numFmtId="0" fontId="19" fillId="21" borderId="15" xfId="0" applyFont="1" applyFill="1" applyBorder="1" applyAlignment="1">
      <alignment horizontal="center"/>
    </xf>
    <xf numFmtId="0" fontId="19" fillId="21" borderId="16" xfId="0" applyFont="1" applyFill="1" applyBorder="1" applyAlignment="1">
      <alignment horizontal="center"/>
    </xf>
    <xf numFmtId="0" fontId="19" fillId="21" borderId="23" xfId="0" applyFont="1" applyFill="1" applyBorder="1" applyAlignment="1">
      <alignment horizontal="center"/>
    </xf>
    <xf numFmtId="0" fontId="19" fillId="21" borderId="18" xfId="0" applyFont="1" applyFill="1" applyBorder="1" applyAlignment="1">
      <alignment horizontal="center"/>
    </xf>
    <xf numFmtId="0" fontId="19" fillId="21" borderId="36" xfId="0" applyFont="1" applyFill="1" applyBorder="1" applyAlignment="1">
      <alignment horizontal="center"/>
    </xf>
    <xf numFmtId="0" fontId="19" fillId="21" borderId="25" xfId="0" applyFont="1" applyFill="1" applyBorder="1" applyAlignment="1">
      <alignment horizontal="center"/>
    </xf>
    <xf numFmtId="0" fontId="19" fillId="21" borderId="26" xfId="0" applyFont="1" applyFill="1" applyBorder="1" applyAlignment="1">
      <alignment horizontal="center"/>
    </xf>
    <xf numFmtId="0" fontId="19" fillId="21" borderId="17" xfId="0" applyFont="1" applyFill="1" applyBorder="1" applyAlignment="1">
      <alignment horizontal="center"/>
    </xf>
    <xf numFmtId="44" fontId="20" fillId="9" borderId="6" xfId="1" applyFont="1" applyFill="1" applyBorder="1" applyAlignment="1">
      <alignment horizontal="right" vertical="center"/>
    </xf>
    <xf numFmtId="0" fontId="21" fillId="22" borderId="6" xfId="0" applyFont="1" applyFill="1" applyBorder="1"/>
    <xf numFmtId="0" fontId="21" fillId="22" borderId="2" xfId="0" applyFont="1" applyFill="1" applyBorder="1"/>
    <xf numFmtId="44" fontId="22" fillId="23" borderId="24" xfId="1" applyFont="1" applyFill="1" applyBorder="1" applyAlignment="1">
      <alignment horizontal="right" vertical="center"/>
    </xf>
    <xf numFmtId="44" fontId="22" fillId="10" borderId="24" xfId="1" applyFont="1" applyFill="1" applyBorder="1" applyAlignment="1">
      <alignment horizontal="right" vertical="center"/>
    </xf>
    <xf numFmtId="0" fontId="23" fillId="23" borderId="24" xfId="0" applyFont="1" applyFill="1" applyBorder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mruColors>
      <color rgb="FFD5F5E3"/>
      <color rgb="FFFBDBD9"/>
      <color rgb="FFD7EA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7"/>
  <sheetViews>
    <sheetView showGridLines="0" zoomScale="124" zoomScaleNormal="124" workbookViewId="0">
      <pane ySplit="6" topLeftCell="A7" activePane="bottomLeft" state="frozen"/>
      <selection pane="bottomLeft" activeCell="F21" sqref="F21:G21"/>
    </sheetView>
  </sheetViews>
  <sheetFormatPr baseColWidth="10" defaultColWidth="8.83203125" defaultRowHeight="15" x14ac:dyDescent="0.2"/>
  <cols>
    <col min="2" max="2" width="40.6640625" customWidth="1"/>
    <col min="3" max="3" width="24.33203125" customWidth="1"/>
    <col min="4" max="4" width="14" customWidth="1"/>
    <col min="5" max="5" width="12" customWidth="1"/>
    <col min="6" max="6" width="14" customWidth="1"/>
    <col min="7" max="7" width="16" customWidth="1"/>
    <col min="8" max="8" width="14" customWidth="1"/>
    <col min="9" max="9" width="29.6640625" customWidth="1"/>
  </cols>
  <sheetData>
    <row r="1" spans="1:9" ht="8" customHeight="1" x14ac:dyDescent="0.2">
      <c r="A1" s="28"/>
    </row>
    <row r="2" spans="1:9" ht="40" customHeight="1" x14ac:dyDescent="0.2">
      <c r="A2" s="28"/>
      <c r="B2" s="51" t="s">
        <v>0</v>
      </c>
      <c r="C2" s="52"/>
      <c r="D2" s="52"/>
      <c r="E2" s="52"/>
      <c r="F2" s="52"/>
      <c r="G2" s="52"/>
      <c r="H2" s="52"/>
      <c r="I2" s="52"/>
    </row>
    <row r="3" spans="1:9" ht="20" customHeight="1" x14ac:dyDescent="0.2">
      <c r="A3" s="28"/>
      <c r="B3" s="53" t="s">
        <v>1</v>
      </c>
      <c r="C3" s="54"/>
      <c r="D3" s="54"/>
      <c r="E3" s="54"/>
      <c r="F3" s="54"/>
      <c r="G3" s="54"/>
      <c r="H3" s="54"/>
      <c r="I3" s="54"/>
    </row>
    <row r="4" spans="1:9" ht="25" customHeight="1" x14ac:dyDescent="0.2">
      <c r="A4" s="28"/>
      <c r="B4" s="22" t="s">
        <v>2</v>
      </c>
      <c r="C4" s="45" t="s">
        <v>3</v>
      </c>
      <c r="D4" s="45"/>
      <c r="E4" s="55" t="s">
        <v>4</v>
      </c>
      <c r="F4" s="56"/>
      <c r="G4" s="57"/>
      <c r="H4" s="47" t="s">
        <v>5</v>
      </c>
      <c r="I4" s="48"/>
    </row>
    <row r="5" spans="1:9" ht="25" customHeight="1" x14ac:dyDescent="0.2">
      <c r="A5" s="28"/>
      <c r="B5" s="23">
        <f>COUNTA(C9:C104)</f>
        <v>5</v>
      </c>
      <c r="C5" s="46">
        <f>SUM(E9:E104)</f>
        <v>498</v>
      </c>
      <c r="D5" s="46"/>
      <c r="E5" s="58">
        <f>SUM(H9:H104)</f>
        <v>1031.3</v>
      </c>
      <c r="F5" s="59"/>
      <c r="G5" s="60"/>
      <c r="H5" s="49">
        <f>SUM(I9:I104)</f>
        <v>3291.3</v>
      </c>
      <c r="I5" s="50"/>
    </row>
    <row r="6" spans="1:9" ht="10" customHeight="1" x14ac:dyDescent="0.2">
      <c r="A6" s="28"/>
    </row>
    <row r="7" spans="1:9" ht="30" customHeight="1" x14ac:dyDescent="0.2">
      <c r="A7" s="28"/>
      <c r="B7" s="29" t="s">
        <v>6</v>
      </c>
      <c r="C7" s="3" t="s">
        <v>7</v>
      </c>
      <c r="D7" s="3" t="s">
        <v>8</v>
      </c>
      <c r="E7" s="3" t="s">
        <v>9</v>
      </c>
      <c r="F7" s="61" t="s">
        <v>10</v>
      </c>
      <c r="G7" s="62"/>
      <c r="H7" s="3" t="s">
        <v>11</v>
      </c>
      <c r="I7" s="24" t="s">
        <v>5</v>
      </c>
    </row>
    <row r="8" spans="1:9" ht="18" customHeight="1" x14ac:dyDescent="0.2">
      <c r="A8" s="28"/>
      <c r="F8" s="25"/>
      <c r="G8" s="25"/>
    </row>
    <row r="9" spans="1:9" ht="22" customHeight="1" x14ac:dyDescent="0.2">
      <c r="A9" s="28"/>
      <c r="B9" s="67" t="s">
        <v>12</v>
      </c>
      <c r="C9" s="1" t="s">
        <v>13</v>
      </c>
      <c r="D9" s="35" t="s">
        <v>14</v>
      </c>
      <c r="E9" s="1">
        <v>218</v>
      </c>
      <c r="F9" s="82">
        <v>30</v>
      </c>
      <c r="G9" s="83"/>
      <c r="H9" s="36">
        <v>32.700000000000003</v>
      </c>
      <c r="I9" s="112">
        <v>62.7</v>
      </c>
    </row>
    <row r="10" spans="1:9" ht="22" customHeight="1" x14ac:dyDescent="0.2">
      <c r="A10" s="28"/>
      <c r="B10" s="67" t="s">
        <v>15</v>
      </c>
      <c r="C10" s="1" t="s">
        <v>13</v>
      </c>
      <c r="D10" s="35" t="s">
        <v>16</v>
      </c>
      <c r="E10" s="27">
        <v>45</v>
      </c>
      <c r="F10" s="80">
        <v>180</v>
      </c>
      <c r="G10" s="81"/>
      <c r="H10" s="37">
        <v>40.5</v>
      </c>
      <c r="I10" s="112">
        <v>220.5</v>
      </c>
    </row>
    <row r="11" spans="1:9" ht="22" customHeight="1" x14ac:dyDescent="0.2">
      <c r="A11" s="28"/>
      <c r="B11" s="67" t="s">
        <v>17</v>
      </c>
      <c r="C11" s="1" t="s">
        <v>18</v>
      </c>
      <c r="D11" s="35" t="s">
        <v>19</v>
      </c>
      <c r="E11" s="26">
        <v>88</v>
      </c>
      <c r="F11" s="84">
        <v>500</v>
      </c>
      <c r="G11" s="85"/>
      <c r="H11" s="37">
        <v>220</v>
      </c>
      <c r="I11" s="112">
        <v>720</v>
      </c>
    </row>
    <row r="12" spans="1:9" ht="22" customHeight="1" x14ac:dyDescent="0.2">
      <c r="A12" s="28"/>
      <c r="B12" s="67" t="s">
        <v>20</v>
      </c>
      <c r="C12" s="1" t="s">
        <v>21</v>
      </c>
      <c r="D12" s="35" t="s">
        <v>22</v>
      </c>
      <c r="E12" s="26">
        <v>113</v>
      </c>
      <c r="F12" s="84">
        <v>1200</v>
      </c>
      <c r="G12" s="85"/>
      <c r="H12" s="37">
        <v>678.6</v>
      </c>
      <c r="I12" s="112">
        <v>1878.6</v>
      </c>
    </row>
    <row r="13" spans="1:9" ht="22" customHeight="1" x14ac:dyDescent="0.2">
      <c r="A13" s="28"/>
      <c r="B13" s="67" t="s">
        <v>23</v>
      </c>
      <c r="C13" s="1" t="s">
        <v>24</v>
      </c>
      <c r="D13" s="35" t="s">
        <v>25</v>
      </c>
      <c r="E13" s="27">
        <v>34</v>
      </c>
      <c r="F13" s="80">
        <v>350</v>
      </c>
      <c r="G13" s="81"/>
      <c r="H13" s="108">
        <v>59.5</v>
      </c>
      <c r="I13" s="111">
        <v>409.5</v>
      </c>
    </row>
    <row r="14" spans="1:9" ht="18" customHeight="1" x14ac:dyDescent="0.2">
      <c r="A14" s="28"/>
      <c r="B14" s="68"/>
      <c r="C14" s="69"/>
      <c r="D14" s="69"/>
      <c r="E14" s="70"/>
      <c r="F14" s="86"/>
      <c r="G14" s="87"/>
      <c r="H14" s="109"/>
      <c r="I14" s="113"/>
    </row>
    <row r="15" spans="1:9" ht="18" customHeight="1" x14ac:dyDescent="0.2">
      <c r="A15" s="28"/>
      <c r="B15" s="68"/>
      <c r="C15" s="69"/>
      <c r="D15" s="69"/>
      <c r="E15" s="70"/>
      <c r="F15" s="88"/>
      <c r="G15" s="89"/>
      <c r="H15" s="109"/>
      <c r="I15" s="113"/>
    </row>
    <row r="16" spans="1:9" ht="18" customHeight="1" x14ac:dyDescent="0.2">
      <c r="A16" s="28"/>
      <c r="B16" s="68"/>
      <c r="C16" s="69"/>
      <c r="D16" s="69"/>
      <c r="E16" s="70"/>
      <c r="F16" s="88"/>
      <c r="G16" s="89"/>
      <c r="H16" s="109"/>
      <c r="I16" s="113"/>
    </row>
    <row r="17" spans="1:9" ht="18" customHeight="1" x14ac:dyDescent="0.2">
      <c r="A17" s="28"/>
      <c r="B17" s="68"/>
      <c r="C17" s="69"/>
      <c r="D17" s="69"/>
      <c r="E17" s="70"/>
      <c r="F17" s="88"/>
      <c r="G17" s="89"/>
      <c r="H17" s="109"/>
      <c r="I17" s="113"/>
    </row>
    <row r="18" spans="1:9" ht="18" customHeight="1" x14ac:dyDescent="0.2">
      <c r="A18" s="28"/>
      <c r="B18" s="68"/>
      <c r="C18" s="69"/>
      <c r="D18" s="69"/>
      <c r="E18" s="70"/>
      <c r="F18" s="88"/>
      <c r="G18" s="89"/>
      <c r="H18" s="109"/>
      <c r="I18" s="113"/>
    </row>
    <row r="19" spans="1:9" ht="18" customHeight="1" x14ac:dyDescent="0.2">
      <c r="A19" s="28"/>
      <c r="B19" s="68"/>
      <c r="C19" s="69"/>
      <c r="D19" s="69"/>
      <c r="E19" s="69"/>
      <c r="F19" s="90"/>
      <c r="G19" s="91"/>
      <c r="H19" s="110"/>
      <c r="I19" s="113"/>
    </row>
    <row r="20" spans="1:9" ht="18" customHeight="1" x14ac:dyDescent="0.2">
      <c r="A20" s="28"/>
      <c r="B20" s="68"/>
      <c r="C20" s="69"/>
      <c r="D20" s="69"/>
      <c r="E20" s="70"/>
      <c r="F20" s="88"/>
      <c r="G20" s="89"/>
      <c r="H20" s="109"/>
      <c r="I20" s="113"/>
    </row>
    <row r="21" spans="1:9" ht="18" customHeight="1" x14ac:dyDescent="0.2">
      <c r="A21" s="28"/>
      <c r="B21" s="68"/>
      <c r="C21" s="69"/>
      <c r="D21" s="69"/>
      <c r="E21" s="70"/>
      <c r="F21" s="88"/>
      <c r="G21" s="89"/>
      <c r="H21" s="109"/>
      <c r="I21" s="113"/>
    </row>
    <row r="22" spans="1:9" ht="18" customHeight="1" x14ac:dyDescent="0.2">
      <c r="A22" s="28"/>
      <c r="B22" s="68"/>
      <c r="C22" s="69"/>
      <c r="D22" s="69"/>
      <c r="E22" s="70"/>
      <c r="F22" s="88"/>
      <c r="G22" s="89"/>
      <c r="H22" s="109"/>
      <c r="I22" s="113"/>
    </row>
    <row r="23" spans="1:9" ht="18" customHeight="1" x14ac:dyDescent="0.2">
      <c r="A23" s="28"/>
      <c r="B23" s="68"/>
      <c r="C23" s="69"/>
      <c r="D23" s="69"/>
      <c r="E23" s="70"/>
      <c r="F23" s="88"/>
      <c r="G23" s="89"/>
      <c r="H23" s="109"/>
      <c r="I23" s="113"/>
    </row>
    <row r="24" spans="1:9" ht="18" customHeight="1" x14ac:dyDescent="0.2">
      <c r="A24" s="28"/>
      <c r="B24" s="68"/>
      <c r="C24" s="69"/>
      <c r="D24" s="69"/>
      <c r="E24" s="70"/>
      <c r="F24" s="88"/>
      <c r="G24" s="89"/>
      <c r="H24" s="109"/>
      <c r="I24" s="113"/>
    </row>
    <row r="25" spans="1:9" ht="18" customHeight="1" x14ac:dyDescent="0.2">
      <c r="A25" s="28"/>
      <c r="B25" s="68"/>
      <c r="C25" s="69"/>
      <c r="D25" s="69"/>
      <c r="E25" s="69"/>
      <c r="F25" s="90"/>
      <c r="G25" s="91"/>
      <c r="H25" s="110"/>
      <c r="I25" s="113"/>
    </row>
    <row r="26" spans="1:9" ht="18" customHeight="1" x14ac:dyDescent="0.2">
      <c r="A26" s="28"/>
      <c r="B26" s="68"/>
      <c r="C26" s="69"/>
      <c r="D26" s="69"/>
      <c r="E26" s="70"/>
      <c r="F26" s="86"/>
      <c r="G26" s="87"/>
      <c r="H26" s="109"/>
      <c r="I26" s="113"/>
    </row>
    <row r="27" spans="1:9" ht="18" customHeight="1" x14ac:dyDescent="0.2">
      <c r="A27" s="28"/>
      <c r="B27" s="68"/>
      <c r="C27" s="69"/>
      <c r="D27" s="69"/>
      <c r="E27" s="70"/>
      <c r="F27" s="88"/>
      <c r="G27" s="89"/>
      <c r="H27" s="109"/>
      <c r="I27" s="113"/>
    </row>
    <row r="28" spans="1:9" ht="18" customHeight="1" x14ac:dyDescent="0.2">
      <c r="A28" s="28"/>
      <c r="B28" s="68"/>
      <c r="C28" s="69"/>
      <c r="D28" s="69"/>
      <c r="E28" s="69"/>
      <c r="F28" s="92"/>
      <c r="G28" s="93"/>
      <c r="H28" s="110"/>
      <c r="I28" s="113"/>
    </row>
    <row r="29" spans="1:9" ht="18" customHeight="1" x14ac:dyDescent="0.2">
      <c r="A29" s="28"/>
      <c r="B29" s="68"/>
      <c r="C29" s="69"/>
      <c r="D29" s="69"/>
      <c r="E29" s="69"/>
      <c r="F29" s="92"/>
      <c r="G29" s="93"/>
      <c r="H29" s="110"/>
      <c r="I29" s="113"/>
    </row>
    <row r="30" spans="1:9" ht="18" customHeight="1" x14ac:dyDescent="0.2">
      <c r="A30" s="28"/>
      <c r="B30" s="68"/>
      <c r="C30" s="69"/>
      <c r="D30" s="69"/>
      <c r="E30" s="69"/>
      <c r="F30" s="94"/>
      <c r="G30" s="95"/>
      <c r="H30" s="110"/>
      <c r="I30" s="113"/>
    </row>
    <row r="31" spans="1:9" ht="18" customHeight="1" x14ac:dyDescent="0.2">
      <c r="A31" s="28"/>
      <c r="B31" s="68"/>
      <c r="C31" s="69"/>
      <c r="D31" s="69"/>
      <c r="E31" s="70"/>
      <c r="F31" s="88"/>
      <c r="G31" s="89"/>
      <c r="H31" s="109"/>
      <c r="I31" s="113"/>
    </row>
    <row r="32" spans="1:9" ht="18" customHeight="1" x14ac:dyDescent="0.2">
      <c r="A32" s="28"/>
      <c r="B32" s="68"/>
      <c r="C32" s="69"/>
      <c r="D32" s="69"/>
      <c r="E32" s="70"/>
      <c r="F32" s="96"/>
      <c r="G32" s="97"/>
      <c r="H32" s="109"/>
      <c r="I32" s="113"/>
    </row>
    <row r="33" spans="1:9" ht="18" customHeight="1" x14ac:dyDescent="0.2">
      <c r="A33" s="28"/>
      <c r="B33" s="68"/>
      <c r="C33" s="69"/>
      <c r="D33" s="69"/>
      <c r="E33" s="69"/>
      <c r="F33" s="92"/>
      <c r="G33" s="93"/>
      <c r="H33" s="110"/>
      <c r="I33" s="113"/>
    </row>
    <row r="34" spans="1:9" ht="18" customHeight="1" x14ac:dyDescent="0.2">
      <c r="A34" s="28"/>
      <c r="B34" s="68"/>
      <c r="C34" s="69"/>
      <c r="D34" s="69"/>
      <c r="E34" s="69"/>
      <c r="F34" s="92"/>
      <c r="G34" s="93"/>
      <c r="H34" s="110"/>
      <c r="I34" s="113"/>
    </row>
    <row r="35" spans="1:9" ht="18" customHeight="1" x14ac:dyDescent="0.2">
      <c r="A35" s="28"/>
      <c r="B35" s="68"/>
      <c r="C35" s="69"/>
      <c r="D35" s="69"/>
      <c r="E35" s="69"/>
      <c r="F35" s="92"/>
      <c r="G35" s="93"/>
      <c r="H35" s="110"/>
      <c r="I35" s="113"/>
    </row>
    <row r="36" spans="1:9" ht="18" customHeight="1" x14ac:dyDescent="0.2">
      <c r="A36" s="28"/>
      <c r="B36" s="68"/>
      <c r="C36" s="69"/>
      <c r="D36" s="69"/>
      <c r="E36" s="69"/>
      <c r="F36" s="94"/>
      <c r="G36" s="95"/>
      <c r="H36" s="110"/>
      <c r="I36" s="113"/>
    </row>
    <row r="37" spans="1:9" ht="18" customHeight="1" x14ac:dyDescent="0.2">
      <c r="A37" s="28"/>
      <c r="B37" s="68"/>
      <c r="C37" s="69"/>
      <c r="D37" s="69"/>
      <c r="E37" s="69"/>
      <c r="F37" s="92"/>
      <c r="G37" s="93"/>
      <c r="H37" s="110"/>
      <c r="I37" s="113"/>
    </row>
    <row r="38" spans="1:9" ht="18" customHeight="1" x14ac:dyDescent="0.2">
      <c r="A38" s="28"/>
      <c r="B38" s="68"/>
      <c r="C38" s="69"/>
      <c r="D38" s="69"/>
      <c r="E38" s="70"/>
      <c r="F38" s="86"/>
      <c r="G38" s="87"/>
      <c r="H38" s="109"/>
      <c r="I38" s="113"/>
    </row>
    <row r="39" spans="1:9" ht="18" customHeight="1" x14ac:dyDescent="0.2">
      <c r="A39" s="28"/>
      <c r="B39" s="68"/>
      <c r="C39" s="69"/>
      <c r="D39" s="69"/>
      <c r="E39" s="70"/>
      <c r="F39" s="88"/>
      <c r="G39" s="89"/>
      <c r="H39" s="109"/>
      <c r="I39" s="113"/>
    </row>
    <row r="40" spans="1:9" ht="18" customHeight="1" x14ac:dyDescent="0.2">
      <c r="A40" s="28"/>
      <c r="B40" s="68"/>
      <c r="C40" s="69"/>
      <c r="D40" s="69"/>
      <c r="E40" s="70"/>
      <c r="F40" s="86"/>
      <c r="G40" s="87"/>
      <c r="H40" s="109"/>
      <c r="I40" s="113"/>
    </row>
    <row r="41" spans="1:9" ht="18" customHeight="1" x14ac:dyDescent="0.2">
      <c r="A41" s="28"/>
      <c r="B41" s="68"/>
      <c r="C41" s="69"/>
      <c r="D41" s="69"/>
      <c r="E41" s="70"/>
      <c r="F41" s="88"/>
      <c r="G41" s="89"/>
      <c r="H41" s="109"/>
      <c r="I41" s="113"/>
    </row>
    <row r="42" spans="1:9" ht="18" customHeight="1" x14ac:dyDescent="0.2">
      <c r="A42" s="28"/>
      <c r="B42" s="68"/>
      <c r="C42" s="69"/>
      <c r="D42" s="69"/>
      <c r="E42" s="70"/>
      <c r="F42" s="98"/>
      <c r="G42" s="99"/>
      <c r="H42" s="109"/>
      <c r="I42" s="113"/>
    </row>
    <row r="43" spans="1:9" ht="18" customHeight="1" x14ac:dyDescent="0.2">
      <c r="A43" s="28"/>
      <c r="B43" s="68"/>
      <c r="C43" s="69"/>
      <c r="D43" s="69"/>
      <c r="E43" s="70"/>
      <c r="F43" s="86"/>
      <c r="G43" s="87"/>
      <c r="H43" s="109"/>
      <c r="I43" s="113"/>
    </row>
    <row r="44" spans="1:9" ht="18" customHeight="1" x14ac:dyDescent="0.2">
      <c r="A44" s="28"/>
      <c r="B44" s="68"/>
      <c r="C44" s="69"/>
      <c r="D44" s="69"/>
      <c r="E44" s="70"/>
      <c r="F44" s="88"/>
      <c r="G44" s="89"/>
      <c r="H44" s="109"/>
      <c r="I44" s="113"/>
    </row>
    <row r="45" spans="1:9" ht="18" customHeight="1" x14ac:dyDescent="0.2">
      <c r="A45" s="28"/>
      <c r="B45" s="68"/>
      <c r="C45" s="69"/>
      <c r="D45" s="69"/>
      <c r="E45" s="70"/>
      <c r="F45" s="96"/>
      <c r="G45" s="97"/>
      <c r="H45" s="109"/>
      <c r="I45" s="113"/>
    </row>
    <row r="46" spans="1:9" ht="18" customHeight="1" x14ac:dyDescent="0.2">
      <c r="A46" s="28"/>
      <c r="B46" s="68"/>
      <c r="C46" s="69"/>
      <c r="D46" s="69"/>
      <c r="E46" s="70"/>
      <c r="F46" s="98"/>
      <c r="G46" s="99"/>
      <c r="H46" s="109"/>
      <c r="I46" s="113"/>
    </row>
    <row r="47" spans="1:9" ht="18" customHeight="1" x14ac:dyDescent="0.2">
      <c r="A47" s="28"/>
      <c r="B47" s="68"/>
      <c r="C47" s="69"/>
      <c r="D47" s="69"/>
      <c r="E47" s="70"/>
      <c r="F47" s="86"/>
      <c r="G47" s="87"/>
      <c r="H47" s="109"/>
      <c r="I47" s="113"/>
    </row>
    <row r="48" spans="1:9" ht="18" customHeight="1" x14ac:dyDescent="0.2">
      <c r="A48" s="28"/>
      <c r="B48" s="68"/>
      <c r="C48" s="69"/>
      <c r="D48" s="69"/>
      <c r="E48" s="70"/>
      <c r="F48" s="88"/>
      <c r="G48" s="89"/>
      <c r="H48" s="109"/>
      <c r="I48" s="113"/>
    </row>
    <row r="49" spans="1:9" ht="18" customHeight="1" x14ac:dyDescent="0.2">
      <c r="A49" s="28"/>
      <c r="B49" s="68"/>
      <c r="C49" s="69"/>
      <c r="D49" s="69"/>
      <c r="E49" s="70"/>
      <c r="F49" s="96"/>
      <c r="G49" s="97"/>
      <c r="H49" s="109"/>
      <c r="I49" s="113"/>
    </row>
    <row r="50" spans="1:9" ht="18" customHeight="1" x14ac:dyDescent="0.2">
      <c r="A50" s="28"/>
      <c r="B50" s="68"/>
      <c r="C50" s="69"/>
      <c r="D50" s="69"/>
      <c r="E50" s="70"/>
      <c r="F50" s="96"/>
      <c r="G50" s="97"/>
      <c r="H50" s="109"/>
      <c r="I50" s="113"/>
    </row>
    <row r="51" spans="1:9" ht="18" customHeight="1" x14ac:dyDescent="0.2">
      <c r="A51" s="28"/>
      <c r="B51" s="68"/>
      <c r="C51" s="69"/>
      <c r="D51" s="69"/>
      <c r="E51" s="69"/>
      <c r="F51" s="92"/>
      <c r="G51" s="93"/>
      <c r="H51" s="110"/>
      <c r="I51" s="113"/>
    </row>
    <row r="52" spans="1:9" ht="18" customHeight="1" x14ac:dyDescent="0.2">
      <c r="A52" s="28"/>
      <c r="B52" s="68"/>
      <c r="C52" s="69"/>
      <c r="D52" s="69"/>
      <c r="E52" s="70"/>
      <c r="F52" s="96"/>
      <c r="G52" s="97"/>
      <c r="H52" s="109"/>
      <c r="I52" s="113"/>
    </row>
    <row r="53" spans="1:9" ht="18" customHeight="1" x14ac:dyDescent="0.2">
      <c r="A53" s="28"/>
      <c r="B53" s="68"/>
      <c r="C53" s="69"/>
      <c r="D53" s="69"/>
      <c r="E53" s="70"/>
      <c r="F53" s="88"/>
      <c r="G53" s="89"/>
      <c r="H53" s="109"/>
      <c r="I53" s="113"/>
    </row>
    <row r="54" spans="1:9" ht="18" customHeight="1" x14ac:dyDescent="0.2">
      <c r="A54" s="28"/>
      <c r="B54" s="68"/>
      <c r="C54" s="69"/>
      <c r="D54" s="69"/>
      <c r="E54" s="70"/>
      <c r="F54" s="100"/>
      <c r="G54" s="101"/>
      <c r="H54" s="109"/>
      <c r="I54" s="113"/>
    </row>
    <row r="55" spans="1:9" ht="18" customHeight="1" x14ac:dyDescent="0.2">
      <c r="A55" s="28"/>
      <c r="B55" s="68"/>
      <c r="C55" s="69"/>
      <c r="D55" s="69"/>
      <c r="E55" s="70"/>
      <c r="F55" s="100"/>
      <c r="G55" s="101"/>
      <c r="H55" s="109"/>
      <c r="I55" s="113"/>
    </row>
    <row r="56" spans="1:9" ht="18" customHeight="1" x14ac:dyDescent="0.2">
      <c r="A56" s="28"/>
      <c r="B56" s="68"/>
      <c r="C56" s="69"/>
      <c r="D56" s="69"/>
      <c r="E56" s="70"/>
      <c r="F56" s="100"/>
      <c r="G56" s="101"/>
      <c r="H56" s="109"/>
      <c r="I56" s="113"/>
    </row>
    <row r="57" spans="1:9" ht="18" customHeight="1" x14ac:dyDescent="0.2">
      <c r="A57" s="28"/>
      <c r="B57" s="68"/>
      <c r="C57" s="69"/>
      <c r="D57" s="69"/>
      <c r="E57" s="70"/>
      <c r="F57" s="100"/>
      <c r="G57" s="101"/>
      <c r="H57" s="109"/>
      <c r="I57" s="113"/>
    </row>
    <row r="58" spans="1:9" ht="18" customHeight="1" x14ac:dyDescent="0.2">
      <c r="A58" s="28"/>
      <c r="B58" s="68"/>
      <c r="C58" s="69"/>
      <c r="D58" s="69"/>
      <c r="E58" s="70"/>
      <c r="F58" s="100"/>
      <c r="G58" s="101"/>
      <c r="H58" s="109"/>
      <c r="I58" s="113"/>
    </row>
    <row r="59" spans="1:9" ht="18" customHeight="1" x14ac:dyDescent="0.2">
      <c r="A59" s="28"/>
      <c r="B59" s="68"/>
      <c r="C59" s="69"/>
      <c r="D59" s="69"/>
      <c r="E59" s="70"/>
      <c r="F59" s="100"/>
      <c r="G59" s="101"/>
      <c r="H59" s="109"/>
      <c r="I59" s="113"/>
    </row>
    <row r="60" spans="1:9" ht="18" customHeight="1" x14ac:dyDescent="0.2">
      <c r="A60" s="28"/>
      <c r="B60" s="68"/>
      <c r="C60" s="69"/>
      <c r="D60" s="69"/>
      <c r="E60" s="70"/>
      <c r="F60" s="100"/>
      <c r="G60" s="101"/>
      <c r="H60" s="109"/>
      <c r="I60" s="113"/>
    </row>
    <row r="61" spans="1:9" ht="18" customHeight="1" x14ac:dyDescent="0.2">
      <c r="A61" s="28"/>
      <c r="B61" s="68"/>
      <c r="C61" s="69"/>
      <c r="D61" s="69"/>
      <c r="E61" s="70"/>
      <c r="F61" s="100"/>
      <c r="G61" s="101"/>
      <c r="H61" s="109"/>
      <c r="I61" s="113"/>
    </row>
    <row r="62" spans="1:9" ht="18" customHeight="1" x14ac:dyDescent="0.2">
      <c r="A62" s="28"/>
      <c r="B62" s="68"/>
      <c r="C62" s="69"/>
      <c r="D62" s="69"/>
      <c r="E62" s="70"/>
      <c r="F62" s="100"/>
      <c r="G62" s="101"/>
      <c r="H62" s="109"/>
      <c r="I62" s="113"/>
    </row>
    <row r="63" spans="1:9" ht="18" customHeight="1" x14ac:dyDescent="0.2">
      <c r="A63" s="28"/>
      <c r="B63" s="68"/>
      <c r="C63" s="69"/>
      <c r="D63" s="69"/>
      <c r="E63" s="70"/>
      <c r="F63" s="100"/>
      <c r="G63" s="101"/>
      <c r="H63" s="109"/>
      <c r="I63" s="113"/>
    </row>
    <row r="64" spans="1:9" ht="18" customHeight="1" x14ac:dyDescent="0.2">
      <c r="A64" s="28"/>
      <c r="B64" s="68"/>
      <c r="C64" s="69"/>
      <c r="D64" s="69"/>
      <c r="E64" s="70"/>
      <c r="F64" s="100"/>
      <c r="G64" s="101"/>
      <c r="H64" s="109"/>
      <c r="I64" s="113"/>
    </row>
    <row r="65" spans="1:9" ht="18" customHeight="1" x14ac:dyDescent="0.2">
      <c r="A65" s="28"/>
      <c r="B65" s="68"/>
      <c r="C65" s="69"/>
      <c r="D65" s="69"/>
      <c r="E65" s="70"/>
      <c r="F65" s="100"/>
      <c r="G65" s="101"/>
      <c r="H65" s="109"/>
      <c r="I65" s="113"/>
    </row>
    <row r="66" spans="1:9" ht="18" customHeight="1" x14ac:dyDescent="0.2">
      <c r="A66" s="28"/>
      <c r="B66" s="68"/>
      <c r="C66" s="69"/>
      <c r="D66" s="69"/>
      <c r="E66" s="71"/>
      <c r="F66" s="102"/>
      <c r="G66" s="103"/>
      <c r="H66" s="109"/>
      <c r="I66" s="113"/>
    </row>
    <row r="67" spans="1:9" ht="18" customHeight="1" x14ac:dyDescent="0.2">
      <c r="A67" s="28"/>
      <c r="B67" s="68"/>
      <c r="C67" s="69"/>
      <c r="D67" s="69"/>
      <c r="E67" s="72"/>
      <c r="F67" s="104"/>
      <c r="G67" s="89"/>
      <c r="H67" s="109"/>
      <c r="I67" s="113"/>
    </row>
    <row r="68" spans="1:9" ht="18" customHeight="1" x14ac:dyDescent="0.2">
      <c r="A68" s="28"/>
      <c r="B68" s="68"/>
      <c r="C68" s="69"/>
      <c r="D68" s="69"/>
      <c r="E68" s="71"/>
      <c r="F68" s="102"/>
      <c r="G68" s="103"/>
      <c r="H68" s="109"/>
      <c r="I68" s="113"/>
    </row>
    <row r="69" spans="1:9" ht="18" customHeight="1" x14ac:dyDescent="0.2">
      <c r="A69" s="28"/>
      <c r="B69" s="68"/>
      <c r="C69" s="69"/>
      <c r="D69" s="69"/>
      <c r="E69" s="71"/>
      <c r="F69" s="102"/>
      <c r="G69" s="101"/>
      <c r="H69" s="109"/>
      <c r="I69" s="113"/>
    </row>
    <row r="70" spans="1:9" ht="18" customHeight="1" x14ac:dyDescent="0.2">
      <c r="A70" s="28"/>
      <c r="B70" s="68"/>
      <c r="C70" s="69"/>
      <c r="D70" s="69"/>
      <c r="E70" s="71"/>
      <c r="F70" s="102"/>
      <c r="G70" s="101"/>
      <c r="H70" s="109"/>
      <c r="I70" s="113"/>
    </row>
    <row r="71" spans="1:9" ht="18" customHeight="1" x14ac:dyDescent="0.2">
      <c r="A71" s="28"/>
      <c r="B71" s="68"/>
      <c r="C71" s="69"/>
      <c r="D71" s="69"/>
      <c r="E71" s="71"/>
      <c r="F71" s="102"/>
      <c r="G71" s="101"/>
      <c r="H71" s="109"/>
      <c r="I71" s="113"/>
    </row>
    <row r="72" spans="1:9" ht="18" customHeight="1" x14ac:dyDescent="0.2">
      <c r="A72" s="28"/>
      <c r="B72" s="68"/>
      <c r="C72" s="69"/>
      <c r="D72" s="69"/>
      <c r="E72" s="71"/>
      <c r="F72" s="102"/>
      <c r="G72" s="101"/>
      <c r="H72" s="109"/>
      <c r="I72" s="113"/>
    </row>
    <row r="73" spans="1:9" ht="18" customHeight="1" x14ac:dyDescent="0.2">
      <c r="A73" s="28"/>
      <c r="B73" s="68"/>
      <c r="C73" s="69"/>
      <c r="D73" s="69"/>
      <c r="E73" s="71"/>
      <c r="F73" s="102"/>
      <c r="G73" s="101"/>
      <c r="H73" s="109"/>
      <c r="I73" s="113"/>
    </row>
    <row r="74" spans="1:9" ht="18" customHeight="1" x14ac:dyDescent="0.2">
      <c r="A74" s="28"/>
      <c r="B74" s="68"/>
      <c r="C74" s="69"/>
      <c r="D74" s="69"/>
      <c r="E74" s="71"/>
      <c r="F74" s="102"/>
      <c r="G74" s="101"/>
      <c r="H74" s="109"/>
      <c r="I74" s="113"/>
    </row>
    <row r="75" spans="1:9" ht="18" customHeight="1" x14ac:dyDescent="0.2">
      <c r="A75" s="28"/>
      <c r="B75" s="68"/>
      <c r="C75" s="69"/>
      <c r="D75" s="69"/>
      <c r="E75" s="71"/>
      <c r="F75" s="102"/>
      <c r="G75" s="101"/>
      <c r="H75" s="109"/>
      <c r="I75" s="113"/>
    </row>
    <row r="76" spans="1:9" ht="18" customHeight="1" x14ac:dyDescent="0.2">
      <c r="A76" s="28"/>
      <c r="B76" s="68"/>
      <c r="C76" s="69"/>
      <c r="D76" s="69"/>
      <c r="E76" s="71"/>
      <c r="F76" s="102"/>
      <c r="G76" s="101"/>
      <c r="H76" s="109"/>
      <c r="I76" s="113"/>
    </row>
    <row r="77" spans="1:9" ht="18" customHeight="1" x14ac:dyDescent="0.2">
      <c r="A77" s="28"/>
      <c r="B77" s="68"/>
      <c r="C77" s="69"/>
      <c r="D77" s="69"/>
      <c r="E77" s="71"/>
      <c r="F77" s="102"/>
      <c r="G77" s="101"/>
      <c r="H77" s="109"/>
      <c r="I77" s="113"/>
    </row>
    <row r="78" spans="1:9" ht="18" customHeight="1" x14ac:dyDescent="0.2">
      <c r="A78" s="28"/>
      <c r="B78" s="68"/>
      <c r="C78" s="69"/>
      <c r="D78" s="69"/>
      <c r="E78" s="71"/>
      <c r="F78" s="102"/>
      <c r="G78" s="101"/>
      <c r="H78" s="109"/>
      <c r="I78" s="113"/>
    </row>
    <row r="79" spans="1:9" ht="18" customHeight="1" x14ac:dyDescent="0.2">
      <c r="A79" s="28"/>
      <c r="B79" s="68"/>
      <c r="C79" s="69"/>
      <c r="D79" s="69"/>
      <c r="E79" s="71"/>
      <c r="F79" s="102"/>
      <c r="G79" s="101"/>
      <c r="H79" s="109"/>
      <c r="I79" s="113"/>
    </row>
    <row r="80" spans="1:9" ht="18" customHeight="1" x14ac:dyDescent="0.2">
      <c r="A80" s="28"/>
      <c r="B80" s="68"/>
      <c r="C80" s="69"/>
      <c r="D80" s="69"/>
      <c r="E80" s="71"/>
      <c r="F80" s="102"/>
      <c r="G80" s="101"/>
      <c r="H80" s="109"/>
      <c r="I80" s="113"/>
    </row>
    <row r="81" spans="1:9" ht="18" customHeight="1" x14ac:dyDescent="0.2">
      <c r="A81" s="28"/>
      <c r="B81" s="68"/>
      <c r="C81" s="69"/>
      <c r="D81" s="69"/>
      <c r="E81" s="71"/>
      <c r="F81" s="102"/>
      <c r="G81" s="101"/>
      <c r="H81" s="109"/>
      <c r="I81" s="113"/>
    </row>
    <row r="82" spans="1:9" ht="18" customHeight="1" x14ac:dyDescent="0.2">
      <c r="A82" s="28"/>
      <c r="B82" s="68"/>
      <c r="C82" s="69"/>
      <c r="D82" s="69"/>
      <c r="E82" s="71"/>
      <c r="F82" s="102"/>
      <c r="G82" s="101"/>
      <c r="H82" s="109"/>
      <c r="I82" s="113"/>
    </row>
    <row r="83" spans="1:9" ht="18" customHeight="1" x14ac:dyDescent="0.2">
      <c r="A83" s="28"/>
      <c r="B83" s="68"/>
      <c r="C83" s="69"/>
      <c r="D83" s="69"/>
      <c r="E83" s="71"/>
      <c r="F83" s="102"/>
      <c r="G83" s="101"/>
      <c r="H83" s="109"/>
      <c r="I83" s="113"/>
    </row>
    <row r="84" spans="1:9" ht="18" customHeight="1" x14ac:dyDescent="0.2">
      <c r="A84" s="28"/>
      <c r="B84" s="68"/>
      <c r="C84" s="69"/>
      <c r="D84" s="69"/>
      <c r="E84" s="71"/>
      <c r="F84" s="102"/>
      <c r="G84" s="101"/>
      <c r="H84" s="109"/>
      <c r="I84" s="113"/>
    </row>
    <row r="85" spans="1:9" ht="18" customHeight="1" x14ac:dyDescent="0.2">
      <c r="A85" s="28"/>
      <c r="B85" s="68"/>
      <c r="C85" s="69"/>
      <c r="D85" s="69"/>
      <c r="E85" s="71"/>
      <c r="F85" s="102"/>
      <c r="G85" s="101"/>
      <c r="H85" s="109"/>
      <c r="I85" s="113"/>
    </row>
    <row r="86" spans="1:9" ht="18" customHeight="1" x14ac:dyDescent="0.2">
      <c r="A86" s="28"/>
      <c r="B86" s="68"/>
      <c r="C86" s="69"/>
      <c r="D86" s="69"/>
      <c r="E86" s="71"/>
      <c r="F86" s="102"/>
      <c r="G86" s="101"/>
      <c r="H86" s="109"/>
      <c r="I86" s="113"/>
    </row>
    <row r="87" spans="1:9" ht="18" customHeight="1" x14ac:dyDescent="0.2">
      <c r="A87" s="28"/>
      <c r="B87" s="68"/>
      <c r="C87" s="69"/>
      <c r="D87" s="69"/>
      <c r="E87" s="71"/>
      <c r="F87" s="102"/>
      <c r="G87" s="101"/>
      <c r="H87" s="109"/>
      <c r="I87" s="113"/>
    </row>
    <row r="88" spans="1:9" ht="18" customHeight="1" x14ac:dyDescent="0.2">
      <c r="A88" s="28"/>
      <c r="B88" s="68"/>
      <c r="C88" s="69"/>
      <c r="D88" s="69"/>
      <c r="E88" s="71"/>
      <c r="F88" s="102"/>
      <c r="G88" s="101"/>
      <c r="H88" s="109"/>
      <c r="I88" s="113"/>
    </row>
    <row r="89" spans="1:9" ht="18" customHeight="1" x14ac:dyDescent="0.2">
      <c r="A89" s="28"/>
      <c r="B89" s="68"/>
      <c r="C89" s="69"/>
      <c r="D89" s="69"/>
      <c r="E89" s="71"/>
      <c r="F89" s="102"/>
      <c r="G89" s="101"/>
      <c r="H89" s="109"/>
      <c r="I89" s="113"/>
    </row>
    <row r="90" spans="1:9" ht="18" customHeight="1" x14ac:dyDescent="0.2">
      <c r="A90" s="28"/>
      <c r="B90" s="68"/>
      <c r="C90" s="69"/>
      <c r="D90" s="69"/>
      <c r="E90" s="71"/>
      <c r="F90" s="102"/>
      <c r="G90" s="101"/>
      <c r="H90" s="109"/>
      <c r="I90" s="113"/>
    </row>
    <row r="91" spans="1:9" ht="18" customHeight="1" x14ac:dyDescent="0.2">
      <c r="A91" s="28"/>
      <c r="B91" s="68"/>
      <c r="C91" s="69"/>
      <c r="D91" s="69"/>
      <c r="E91" s="71"/>
      <c r="F91" s="102"/>
      <c r="G91" s="101"/>
      <c r="H91" s="109"/>
      <c r="I91" s="113"/>
    </row>
    <row r="92" spans="1:9" ht="18" customHeight="1" x14ac:dyDescent="0.2">
      <c r="A92" s="28"/>
      <c r="B92" s="68"/>
      <c r="C92" s="69"/>
      <c r="D92" s="69"/>
      <c r="E92" s="71"/>
      <c r="F92" s="102"/>
      <c r="G92" s="101"/>
      <c r="H92" s="109"/>
      <c r="I92" s="113"/>
    </row>
    <row r="93" spans="1:9" ht="18" customHeight="1" x14ac:dyDescent="0.2">
      <c r="A93" s="28"/>
      <c r="B93" s="68"/>
      <c r="C93" s="69"/>
      <c r="D93" s="69"/>
      <c r="E93" s="69"/>
      <c r="F93" s="92"/>
      <c r="G93" s="93"/>
      <c r="H93" s="110"/>
      <c r="I93" s="113"/>
    </row>
    <row r="94" spans="1:9" ht="18" customHeight="1" x14ac:dyDescent="0.2">
      <c r="A94" s="28"/>
      <c r="B94" s="68"/>
      <c r="C94" s="69"/>
      <c r="D94" s="69"/>
      <c r="E94" s="70"/>
      <c r="F94" s="96"/>
      <c r="G94" s="97"/>
      <c r="H94" s="109"/>
      <c r="I94" s="113"/>
    </row>
    <row r="95" spans="1:9" ht="18" customHeight="1" x14ac:dyDescent="0.2">
      <c r="A95" s="28"/>
      <c r="B95" s="68"/>
      <c r="C95" s="69"/>
      <c r="D95" s="69"/>
      <c r="E95" s="69"/>
      <c r="F95" s="105"/>
      <c r="G95" s="106"/>
      <c r="H95" s="110"/>
      <c r="I95" s="113"/>
    </row>
    <row r="96" spans="1:9" ht="18" customHeight="1" x14ac:dyDescent="0.2">
      <c r="A96" s="28"/>
      <c r="B96" s="68"/>
      <c r="C96" s="69"/>
      <c r="D96" s="73"/>
      <c r="E96" s="70"/>
      <c r="F96" s="88"/>
      <c r="G96" s="89"/>
      <c r="H96" s="109"/>
      <c r="I96" s="113"/>
    </row>
    <row r="97" spans="1:10" ht="18" customHeight="1" x14ac:dyDescent="0.2">
      <c r="A97" s="28"/>
      <c r="B97" s="68"/>
      <c r="C97" s="70"/>
      <c r="D97" s="74"/>
      <c r="E97" s="75"/>
      <c r="F97" s="88"/>
      <c r="G97" s="89"/>
      <c r="H97" s="109"/>
      <c r="I97" s="113"/>
    </row>
    <row r="98" spans="1:10" ht="18" customHeight="1" x14ac:dyDescent="0.2">
      <c r="A98" s="28"/>
      <c r="B98" s="68"/>
      <c r="C98" s="70"/>
      <c r="D98" s="76"/>
      <c r="E98" s="75"/>
      <c r="F98" s="88"/>
      <c r="G98" s="89"/>
      <c r="H98" s="109"/>
      <c r="I98" s="113"/>
    </row>
    <row r="99" spans="1:10" ht="18" customHeight="1" x14ac:dyDescent="0.2">
      <c r="A99" s="28"/>
      <c r="B99" s="68"/>
      <c r="C99" s="70"/>
      <c r="D99" s="77"/>
      <c r="E99" s="75"/>
      <c r="F99" s="88"/>
      <c r="G99" s="89"/>
      <c r="H99" s="109"/>
      <c r="I99" s="113"/>
    </row>
    <row r="100" spans="1:10" ht="18" customHeight="1" x14ac:dyDescent="0.2">
      <c r="A100" s="28"/>
      <c r="B100" s="68"/>
      <c r="C100" s="70"/>
      <c r="D100" s="78"/>
      <c r="E100" s="75"/>
      <c r="F100" s="88"/>
      <c r="G100" s="89"/>
      <c r="H100" s="109"/>
      <c r="I100" s="113"/>
    </row>
    <row r="101" spans="1:10" ht="18" customHeight="1" x14ac:dyDescent="0.2">
      <c r="A101" s="28"/>
      <c r="B101" s="68"/>
      <c r="C101" s="70"/>
      <c r="D101" s="77"/>
      <c r="E101" s="75"/>
      <c r="F101" s="88"/>
      <c r="G101" s="89"/>
      <c r="H101" s="109"/>
      <c r="I101" s="113"/>
    </row>
    <row r="102" spans="1:10" ht="18" customHeight="1" x14ac:dyDescent="0.2">
      <c r="A102" s="28"/>
      <c r="B102" s="68"/>
      <c r="C102" s="71"/>
      <c r="D102" s="79"/>
      <c r="E102" s="75"/>
      <c r="F102" s="107"/>
      <c r="G102" s="103"/>
      <c r="H102" s="109"/>
      <c r="I102" s="113"/>
    </row>
    <row r="103" spans="1:10" ht="18" customHeight="1" x14ac:dyDescent="0.2">
      <c r="A103" s="28"/>
      <c r="B103" s="68"/>
      <c r="C103" s="71"/>
      <c r="D103" s="77"/>
      <c r="E103" s="75"/>
      <c r="F103" s="88"/>
      <c r="G103" s="89"/>
      <c r="H103" s="109"/>
      <c r="I103" s="113"/>
    </row>
    <row r="104" spans="1:10" ht="18" customHeight="1" x14ac:dyDescent="0.2">
      <c r="A104" s="28"/>
      <c r="B104" s="68"/>
      <c r="C104" s="71"/>
      <c r="D104" s="79"/>
      <c r="E104" s="75"/>
      <c r="F104" s="107"/>
      <c r="G104" s="103"/>
      <c r="H104" s="109"/>
      <c r="I104" s="113"/>
    </row>
    <row r="105" spans="1:10" ht="22" customHeight="1" thickBot="1" x14ac:dyDescent="0.25">
      <c r="A105" s="28"/>
      <c r="B105" s="42" t="s">
        <v>26</v>
      </c>
      <c r="C105" s="43"/>
      <c r="D105" s="43"/>
      <c r="E105" s="44"/>
      <c r="F105" s="63">
        <f>SUM(F9:F104)</f>
        <v>2260</v>
      </c>
      <c r="G105" s="64"/>
      <c r="H105" s="31">
        <f>SUM(H9:H104)</f>
        <v>1031.3</v>
      </c>
      <c r="I105" s="32">
        <f>SUM(I9:I104)</f>
        <v>3291.3</v>
      </c>
      <c r="J105" s="30"/>
    </row>
    <row r="107" spans="1:10" x14ac:dyDescent="0.2">
      <c r="B107" s="40" t="s">
        <v>27</v>
      </c>
      <c r="C107" s="41"/>
      <c r="D107" s="41"/>
      <c r="E107" s="41"/>
      <c r="F107" s="41"/>
      <c r="G107" s="41"/>
      <c r="H107" s="41"/>
      <c r="I107" s="41"/>
    </row>
  </sheetData>
  <mergeCells count="68">
    <mergeCell ref="F98:G98"/>
    <mergeCell ref="F99:G99"/>
    <mergeCell ref="F100:G100"/>
    <mergeCell ref="F105:G105"/>
    <mergeCell ref="F101:G101"/>
    <mergeCell ref="F103:G103"/>
    <mergeCell ref="F49:G49"/>
    <mergeCell ref="F50:G50"/>
    <mergeCell ref="F51:G51"/>
    <mergeCell ref="F96:G96"/>
    <mergeCell ref="F97:G97"/>
    <mergeCell ref="F52:G52"/>
    <mergeCell ref="F53:G53"/>
    <mergeCell ref="F67:G67"/>
    <mergeCell ref="F93:G93"/>
    <mergeCell ref="F94:G94"/>
    <mergeCell ref="F95:G95"/>
    <mergeCell ref="F44:G44"/>
    <mergeCell ref="F45:G45"/>
    <mergeCell ref="F46:G46"/>
    <mergeCell ref="F47:G47"/>
    <mergeCell ref="F48:G48"/>
    <mergeCell ref="F39:G39"/>
    <mergeCell ref="F40:G40"/>
    <mergeCell ref="F41:G41"/>
    <mergeCell ref="F42:G42"/>
    <mergeCell ref="F43:G43"/>
    <mergeCell ref="F34:G34"/>
    <mergeCell ref="F35:G35"/>
    <mergeCell ref="F36:G36"/>
    <mergeCell ref="F37:G37"/>
    <mergeCell ref="F38:G38"/>
    <mergeCell ref="F29:G29"/>
    <mergeCell ref="F30:G30"/>
    <mergeCell ref="F31:G31"/>
    <mergeCell ref="F32:G32"/>
    <mergeCell ref="F33:G33"/>
    <mergeCell ref="F24:G24"/>
    <mergeCell ref="F25:G25"/>
    <mergeCell ref="F26:G26"/>
    <mergeCell ref="F27:G27"/>
    <mergeCell ref="F28:G28"/>
    <mergeCell ref="F19:G19"/>
    <mergeCell ref="F20:G20"/>
    <mergeCell ref="F21:G21"/>
    <mergeCell ref="F22:G22"/>
    <mergeCell ref="F23:G23"/>
    <mergeCell ref="B2:I2"/>
    <mergeCell ref="B3:I3"/>
    <mergeCell ref="E4:G4"/>
    <mergeCell ref="E5:G5"/>
    <mergeCell ref="F7:G7"/>
    <mergeCell ref="B107:I107"/>
    <mergeCell ref="B105:E105"/>
    <mergeCell ref="C4:D4"/>
    <mergeCell ref="C5:D5"/>
    <mergeCell ref="H4:I4"/>
    <mergeCell ref="H5:I5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</mergeCell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126"/>
  <sheetViews>
    <sheetView showGridLines="0" tabSelected="1" workbookViewId="0">
      <selection activeCell="F67" sqref="F67"/>
    </sheetView>
  </sheetViews>
  <sheetFormatPr baseColWidth="10" defaultColWidth="8.83203125" defaultRowHeight="15" x14ac:dyDescent="0.2"/>
  <cols>
    <col min="1" max="1" width="3" customWidth="1"/>
    <col min="2" max="2" width="32.83203125" bestFit="1" customWidth="1"/>
    <col min="3" max="4" width="14" customWidth="1"/>
    <col min="5" max="5" width="12" customWidth="1"/>
    <col min="6" max="6" width="14" customWidth="1"/>
    <col min="7" max="7" width="16" customWidth="1"/>
    <col min="8" max="8" width="14" customWidth="1"/>
    <col min="9" max="9" width="3" customWidth="1"/>
  </cols>
  <sheetData>
    <row r="2" spans="1:9" ht="35" customHeight="1" x14ac:dyDescent="0.2">
      <c r="B2" s="66" t="s">
        <v>28</v>
      </c>
      <c r="C2" s="41"/>
      <c r="D2" s="41"/>
      <c r="E2" s="41"/>
      <c r="F2" s="41"/>
      <c r="G2" s="41"/>
      <c r="H2" s="41"/>
    </row>
    <row r="4" spans="1:9" ht="28" customHeight="1" x14ac:dyDescent="0.2">
      <c r="A4" s="10"/>
      <c r="B4" s="10" t="s">
        <v>6</v>
      </c>
      <c r="C4" s="10" t="s">
        <v>7</v>
      </c>
      <c r="D4" s="10" t="s">
        <v>29</v>
      </c>
      <c r="E4" s="10" t="s">
        <v>8</v>
      </c>
      <c r="F4" s="10" t="s">
        <v>10</v>
      </c>
      <c r="G4" s="10" t="s">
        <v>30</v>
      </c>
      <c r="H4" s="10" t="s">
        <v>5</v>
      </c>
      <c r="I4" s="10"/>
    </row>
    <row r="6" spans="1:9" ht="22" customHeight="1" x14ac:dyDescent="0.2">
      <c r="B6" s="34" t="s">
        <v>12</v>
      </c>
      <c r="C6" s="1" t="s">
        <v>13</v>
      </c>
      <c r="D6" s="1">
        <v>218</v>
      </c>
      <c r="E6" s="35" t="s">
        <v>14</v>
      </c>
      <c r="F6" s="38">
        <v>30</v>
      </c>
      <c r="G6" s="36">
        <v>32.700000000000003</v>
      </c>
      <c r="H6" s="39">
        <f>F6+G6</f>
        <v>62.7</v>
      </c>
    </row>
    <row r="7" spans="1:9" ht="22" customHeight="1" x14ac:dyDescent="0.2">
      <c r="B7" s="34" t="s">
        <v>15</v>
      </c>
      <c r="C7" s="1" t="s">
        <v>13</v>
      </c>
      <c r="D7" s="8">
        <v>45</v>
      </c>
      <c r="E7" s="35" t="s">
        <v>16</v>
      </c>
      <c r="F7" s="38">
        <v>180</v>
      </c>
      <c r="G7" s="36">
        <v>40.5</v>
      </c>
      <c r="H7" s="39">
        <f>F7+G7</f>
        <v>220.5</v>
      </c>
    </row>
    <row r="8" spans="1:9" ht="22" customHeight="1" x14ac:dyDescent="0.2">
      <c r="B8" s="34" t="s">
        <v>17</v>
      </c>
      <c r="C8" s="1" t="s">
        <v>18</v>
      </c>
      <c r="D8" s="2">
        <v>88</v>
      </c>
      <c r="E8" s="35" t="s">
        <v>19</v>
      </c>
      <c r="F8" s="38">
        <v>500</v>
      </c>
      <c r="G8" s="36">
        <v>220</v>
      </c>
      <c r="H8" s="39">
        <f>F8+G8</f>
        <v>720</v>
      </c>
    </row>
    <row r="9" spans="1:9" ht="22" customHeight="1" x14ac:dyDescent="0.2">
      <c r="B9" s="34" t="s">
        <v>20</v>
      </c>
      <c r="C9" s="1" t="s">
        <v>21</v>
      </c>
      <c r="D9" s="2">
        <v>113</v>
      </c>
      <c r="E9" s="35" t="s">
        <v>22</v>
      </c>
      <c r="F9" s="38">
        <v>1200</v>
      </c>
      <c r="G9" s="36">
        <v>678.6</v>
      </c>
      <c r="H9" s="39">
        <f>F9+G9</f>
        <v>1878.6</v>
      </c>
    </row>
    <row r="10" spans="1:9" ht="22" customHeight="1" x14ac:dyDescent="0.2">
      <c r="B10" s="11"/>
      <c r="C10" s="33"/>
      <c r="D10" s="33"/>
      <c r="E10" s="7"/>
      <c r="F10" s="4"/>
      <c r="G10" s="5"/>
      <c r="H10" s="6"/>
    </row>
    <row r="11" spans="1:9" ht="22" customHeight="1" x14ac:dyDescent="0.2">
      <c r="B11" s="11"/>
      <c r="C11" s="33"/>
      <c r="D11" s="33"/>
      <c r="E11" s="7"/>
      <c r="F11" s="4"/>
      <c r="G11" s="5"/>
      <c r="H11" s="6"/>
    </row>
    <row r="12" spans="1:9" ht="22" customHeight="1" x14ac:dyDescent="0.2">
      <c r="B12" s="11"/>
      <c r="C12" s="33"/>
      <c r="D12" s="33"/>
      <c r="E12" s="7"/>
      <c r="F12" s="4"/>
      <c r="G12" s="5"/>
      <c r="H12" s="6"/>
    </row>
    <row r="13" spans="1:9" ht="22" customHeight="1" x14ac:dyDescent="0.2">
      <c r="B13" s="11"/>
      <c r="C13" s="33"/>
      <c r="D13" s="33"/>
      <c r="E13" s="7"/>
      <c r="F13" s="4"/>
      <c r="G13" s="5"/>
      <c r="H13" s="6"/>
    </row>
    <row r="14" spans="1:9" ht="22" customHeight="1" x14ac:dyDescent="0.2">
      <c r="B14" s="11"/>
      <c r="C14" s="33"/>
      <c r="D14" s="33"/>
      <c r="E14" s="7"/>
      <c r="F14" s="4"/>
      <c r="G14" s="5"/>
      <c r="H14" s="6"/>
    </row>
    <row r="15" spans="1:9" ht="22" customHeight="1" x14ac:dyDescent="0.2">
      <c r="B15" s="11"/>
      <c r="C15" s="33"/>
      <c r="D15" s="33"/>
      <c r="E15" s="7"/>
      <c r="F15" s="4"/>
      <c r="G15" s="5"/>
      <c r="H15" s="6"/>
    </row>
    <row r="16" spans="1:9" ht="22" customHeight="1" x14ac:dyDescent="0.2">
      <c r="B16" s="11"/>
      <c r="C16" s="33"/>
      <c r="D16" s="33"/>
      <c r="E16" s="7"/>
      <c r="F16" s="4"/>
      <c r="G16" s="5"/>
      <c r="H16" s="6"/>
    </row>
    <row r="17" spans="2:8" ht="22" customHeight="1" x14ac:dyDescent="0.2">
      <c r="B17" s="11"/>
      <c r="C17" s="33"/>
      <c r="D17" s="33"/>
      <c r="E17" s="7"/>
      <c r="F17" s="4"/>
      <c r="G17" s="5"/>
      <c r="H17" s="6"/>
    </row>
    <row r="18" spans="2:8" ht="22" customHeight="1" x14ac:dyDescent="0.2">
      <c r="B18" s="11"/>
      <c r="C18" s="33"/>
      <c r="D18" s="33"/>
      <c r="E18" s="7"/>
      <c r="F18" s="4"/>
      <c r="G18" s="5"/>
      <c r="H18" s="6"/>
    </row>
    <row r="19" spans="2:8" ht="22" customHeight="1" x14ac:dyDescent="0.2">
      <c r="B19" s="11"/>
      <c r="C19" s="33"/>
      <c r="D19" s="33"/>
      <c r="E19" s="7"/>
      <c r="F19" s="4"/>
      <c r="G19" s="5"/>
      <c r="H19" s="6"/>
    </row>
    <row r="20" spans="2:8" ht="22" customHeight="1" x14ac:dyDescent="0.2">
      <c r="B20" s="11"/>
      <c r="C20" s="33"/>
      <c r="D20" s="33"/>
      <c r="E20" s="7"/>
      <c r="F20" s="4"/>
      <c r="G20" s="5"/>
      <c r="H20" s="6"/>
    </row>
    <row r="21" spans="2:8" ht="22" customHeight="1" x14ac:dyDescent="0.2">
      <c r="B21" s="11"/>
      <c r="C21" s="33"/>
      <c r="D21" s="33"/>
      <c r="E21" s="7"/>
      <c r="F21" s="4"/>
      <c r="G21" s="5"/>
      <c r="H21" s="6"/>
    </row>
    <row r="22" spans="2:8" ht="22" customHeight="1" x14ac:dyDescent="0.2">
      <c r="B22" s="11"/>
      <c r="C22" s="33"/>
      <c r="D22" s="33"/>
      <c r="E22" s="7"/>
      <c r="F22" s="4"/>
      <c r="G22" s="5"/>
      <c r="H22" s="6"/>
    </row>
    <row r="23" spans="2:8" ht="22" customHeight="1" x14ac:dyDescent="0.2">
      <c r="B23" s="11"/>
      <c r="C23" s="33"/>
      <c r="D23" s="33"/>
      <c r="E23" s="7"/>
      <c r="F23" s="4"/>
      <c r="G23" s="5"/>
      <c r="H23" s="6"/>
    </row>
    <row r="24" spans="2:8" ht="22" customHeight="1" x14ac:dyDescent="0.2">
      <c r="B24" s="11"/>
      <c r="C24" s="33"/>
      <c r="D24" s="33"/>
      <c r="E24" s="7"/>
      <c r="F24" s="4"/>
      <c r="G24" s="5"/>
      <c r="H24" s="6"/>
    </row>
    <row r="25" spans="2:8" ht="22" customHeight="1" x14ac:dyDescent="0.2">
      <c r="B25" s="11"/>
      <c r="C25" s="33"/>
      <c r="D25" s="33"/>
      <c r="E25" s="7"/>
      <c r="F25" s="4"/>
      <c r="G25" s="5"/>
      <c r="H25" s="6"/>
    </row>
    <row r="26" spans="2:8" ht="22" customHeight="1" x14ac:dyDescent="0.2">
      <c r="B26" s="11"/>
      <c r="C26" s="33"/>
      <c r="D26" s="33"/>
      <c r="E26" s="7"/>
      <c r="F26" s="4"/>
      <c r="G26" s="5"/>
      <c r="H26" s="6"/>
    </row>
    <row r="27" spans="2:8" ht="22" customHeight="1" x14ac:dyDescent="0.2">
      <c r="B27" s="11"/>
      <c r="C27" s="33"/>
      <c r="D27" s="33"/>
      <c r="E27" s="7"/>
      <c r="F27" s="4"/>
      <c r="G27" s="5"/>
      <c r="H27" s="6"/>
    </row>
    <row r="28" spans="2:8" ht="22" customHeight="1" x14ac:dyDescent="0.2">
      <c r="B28" s="11"/>
      <c r="C28" s="33"/>
      <c r="D28" s="33"/>
      <c r="E28" s="7"/>
      <c r="F28" s="4"/>
      <c r="G28" s="5"/>
      <c r="H28" s="6"/>
    </row>
    <row r="29" spans="2:8" ht="22" customHeight="1" x14ac:dyDescent="0.2">
      <c r="B29" s="11"/>
      <c r="C29" s="33"/>
      <c r="D29" s="33"/>
      <c r="E29" s="7"/>
      <c r="F29" s="4"/>
      <c r="G29" s="5"/>
      <c r="H29" s="6"/>
    </row>
    <row r="30" spans="2:8" ht="22" customHeight="1" x14ac:dyDescent="0.2">
      <c r="B30" s="11"/>
      <c r="C30" s="33"/>
      <c r="D30" s="33"/>
      <c r="E30" s="7"/>
      <c r="F30" s="4"/>
      <c r="G30" s="5"/>
      <c r="H30" s="6"/>
    </row>
    <row r="31" spans="2:8" ht="22" customHeight="1" x14ac:dyDescent="0.2">
      <c r="B31" s="11"/>
      <c r="C31" s="33"/>
      <c r="D31" s="33"/>
      <c r="E31" s="7"/>
      <c r="F31" s="4"/>
      <c r="G31" s="5"/>
      <c r="H31" s="6"/>
    </row>
    <row r="32" spans="2:8" ht="22" customHeight="1" x14ac:dyDescent="0.2">
      <c r="B32" s="11"/>
      <c r="C32" s="33"/>
      <c r="D32" s="33"/>
      <c r="E32" s="7"/>
      <c r="F32" s="4"/>
      <c r="G32" s="5"/>
      <c r="H32" s="6"/>
    </row>
    <row r="33" spans="2:8" ht="22" customHeight="1" x14ac:dyDescent="0.2">
      <c r="B33" s="11"/>
      <c r="C33" s="33"/>
      <c r="D33" s="33"/>
      <c r="E33" s="7"/>
      <c r="F33" s="4"/>
      <c r="G33" s="5"/>
      <c r="H33" s="6"/>
    </row>
    <row r="34" spans="2:8" ht="22" customHeight="1" x14ac:dyDescent="0.2">
      <c r="B34" s="11"/>
      <c r="C34" s="33"/>
      <c r="D34" s="33"/>
      <c r="E34" s="7"/>
      <c r="F34" s="4"/>
      <c r="G34" s="5"/>
      <c r="H34" s="6"/>
    </row>
    <row r="35" spans="2:8" ht="22" customHeight="1" x14ac:dyDescent="0.2">
      <c r="B35" s="11"/>
      <c r="C35" s="33"/>
      <c r="D35" s="33"/>
      <c r="E35" s="7"/>
      <c r="F35" s="4"/>
      <c r="G35" s="5"/>
      <c r="H35" s="6"/>
    </row>
    <row r="36" spans="2:8" ht="22" customHeight="1" x14ac:dyDescent="0.2">
      <c r="B36" s="11"/>
      <c r="C36" s="33"/>
      <c r="D36" s="33"/>
      <c r="E36" s="7"/>
      <c r="F36" s="4"/>
      <c r="G36" s="5"/>
      <c r="H36" s="6"/>
    </row>
    <row r="37" spans="2:8" ht="22" customHeight="1" x14ac:dyDescent="0.2">
      <c r="B37" s="11"/>
      <c r="C37" s="33"/>
      <c r="D37" s="33"/>
      <c r="E37" s="7"/>
      <c r="F37" s="4"/>
      <c r="G37" s="5"/>
      <c r="H37" s="6"/>
    </row>
    <row r="38" spans="2:8" ht="22" customHeight="1" x14ac:dyDescent="0.2">
      <c r="B38" s="11"/>
      <c r="C38" s="33"/>
      <c r="D38" s="33"/>
      <c r="E38" s="7"/>
      <c r="F38" s="4"/>
      <c r="G38" s="5"/>
      <c r="H38" s="6"/>
    </row>
    <row r="39" spans="2:8" ht="22" customHeight="1" x14ac:dyDescent="0.2">
      <c r="B39" s="11"/>
      <c r="C39" s="33"/>
      <c r="D39" s="33"/>
      <c r="E39" s="7"/>
      <c r="F39" s="4"/>
      <c r="G39" s="5"/>
      <c r="H39" s="6"/>
    </row>
    <row r="40" spans="2:8" ht="22" customHeight="1" x14ac:dyDescent="0.2">
      <c r="B40" s="11"/>
      <c r="C40" s="33"/>
      <c r="D40" s="33"/>
      <c r="E40" s="7"/>
      <c r="F40" s="4"/>
      <c r="G40" s="5"/>
      <c r="H40" s="6"/>
    </row>
    <row r="41" spans="2:8" ht="22" customHeight="1" x14ac:dyDescent="0.2">
      <c r="B41" s="11"/>
      <c r="C41" s="33"/>
      <c r="D41" s="33"/>
      <c r="E41" s="7"/>
      <c r="F41" s="4"/>
      <c r="G41" s="5"/>
      <c r="H41" s="6"/>
    </row>
    <row r="42" spans="2:8" ht="22" customHeight="1" x14ac:dyDescent="0.2">
      <c r="B42" s="11"/>
      <c r="C42" s="33"/>
      <c r="D42" s="33"/>
      <c r="E42" s="7"/>
      <c r="F42" s="4"/>
      <c r="G42" s="5"/>
      <c r="H42" s="6"/>
    </row>
    <row r="43" spans="2:8" ht="22" customHeight="1" x14ac:dyDescent="0.2">
      <c r="B43" s="11"/>
      <c r="C43" s="33"/>
      <c r="D43" s="33"/>
      <c r="E43" s="7"/>
      <c r="F43" s="4"/>
      <c r="G43" s="5"/>
      <c r="H43" s="6"/>
    </row>
    <row r="44" spans="2:8" ht="22" customHeight="1" x14ac:dyDescent="0.2">
      <c r="B44" s="11"/>
      <c r="C44" s="33"/>
      <c r="D44" s="33"/>
      <c r="E44" s="7"/>
      <c r="F44" s="4"/>
      <c r="G44" s="5"/>
      <c r="H44" s="6"/>
    </row>
    <row r="45" spans="2:8" ht="22" customHeight="1" x14ac:dyDescent="0.2">
      <c r="B45" s="11"/>
      <c r="C45" s="33"/>
      <c r="D45" s="33"/>
      <c r="E45" s="7"/>
      <c r="F45" s="4"/>
      <c r="G45" s="5"/>
      <c r="H45" s="6"/>
    </row>
    <row r="46" spans="2:8" ht="22" customHeight="1" x14ac:dyDescent="0.2">
      <c r="B46" s="11"/>
      <c r="C46" s="33"/>
      <c r="D46" s="33"/>
      <c r="E46" s="7"/>
      <c r="F46" s="4"/>
      <c r="G46" s="5"/>
      <c r="H46" s="6"/>
    </row>
    <row r="47" spans="2:8" ht="22" customHeight="1" x14ac:dyDescent="0.2">
      <c r="B47" s="11"/>
      <c r="C47" s="33"/>
      <c r="D47" s="33"/>
      <c r="E47" s="7"/>
      <c r="F47" s="4"/>
      <c r="G47" s="5"/>
      <c r="H47" s="6"/>
    </row>
    <row r="48" spans="2:8" ht="22" customHeight="1" x14ac:dyDescent="0.2">
      <c r="B48" s="11"/>
      <c r="C48" s="33"/>
      <c r="D48" s="33"/>
      <c r="E48" s="7"/>
      <c r="F48" s="4"/>
      <c r="G48" s="5"/>
      <c r="H48" s="6"/>
    </row>
    <row r="49" spans="2:8" ht="22" customHeight="1" x14ac:dyDescent="0.2">
      <c r="B49" s="11"/>
      <c r="C49" s="33"/>
      <c r="D49" s="33"/>
      <c r="E49" s="7"/>
      <c r="F49" s="4"/>
      <c r="G49" s="5"/>
      <c r="H49" s="6"/>
    </row>
    <row r="50" spans="2:8" ht="22" customHeight="1" x14ac:dyDescent="0.2">
      <c r="B50" s="11"/>
      <c r="C50" s="33"/>
      <c r="D50" s="33"/>
      <c r="E50" s="7"/>
      <c r="F50" s="4"/>
      <c r="G50" s="5"/>
      <c r="H50" s="6"/>
    </row>
    <row r="51" spans="2:8" ht="22" customHeight="1" x14ac:dyDescent="0.2">
      <c r="B51" s="11"/>
      <c r="C51" s="33"/>
      <c r="D51" s="33"/>
      <c r="E51" s="7"/>
      <c r="F51" s="4"/>
      <c r="G51" s="5"/>
      <c r="H51" s="6"/>
    </row>
    <row r="52" spans="2:8" ht="22" customHeight="1" x14ac:dyDescent="0.2">
      <c r="B52" s="11"/>
      <c r="C52" s="33"/>
      <c r="D52" s="33"/>
      <c r="E52" s="7"/>
      <c r="F52" s="4"/>
      <c r="G52" s="5"/>
      <c r="H52" s="6"/>
    </row>
    <row r="53" spans="2:8" ht="22" customHeight="1" x14ac:dyDescent="0.2">
      <c r="B53" s="11"/>
      <c r="C53" s="33"/>
      <c r="D53" s="33"/>
      <c r="E53" s="7"/>
      <c r="F53" s="4"/>
      <c r="G53" s="5"/>
      <c r="H53" s="6"/>
    </row>
    <row r="54" spans="2:8" ht="22" customHeight="1" x14ac:dyDescent="0.2">
      <c r="B54" s="11"/>
      <c r="C54" s="33"/>
      <c r="D54" s="33"/>
      <c r="E54" s="7"/>
      <c r="F54" s="4"/>
      <c r="G54" s="5"/>
      <c r="H54" s="6"/>
    </row>
    <row r="55" spans="2:8" ht="22" customHeight="1" x14ac:dyDescent="0.2">
      <c r="B55" s="11"/>
      <c r="C55" s="33"/>
      <c r="D55" s="33"/>
      <c r="E55" s="7"/>
      <c r="F55" s="4"/>
      <c r="G55" s="5"/>
      <c r="H55" s="6"/>
    </row>
    <row r="56" spans="2:8" ht="22" customHeight="1" x14ac:dyDescent="0.2">
      <c r="B56" s="11"/>
      <c r="C56" s="33"/>
      <c r="D56" s="33"/>
      <c r="E56" s="7"/>
      <c r="F56" s="4"/>
      <c r="G56" s="5"/>
      <c r="H56" s="6"/>
    </row>
    <row r="57" spans="2:8" ht="22" customHeight="1" x14ac:dyDescent="0.2">
      <c r="B57" s="11"/>
      <c r="C57" s="33"/>
      <c r="D57" s="33"/>
      <c r="E57" s="7"/>
      <c r="F57" s="4"/>
      <c r="G57" s="5"/>
      <c r="H57" s="6"/>
    </row>
    <row r="58" spans="2:8" ht="22" customHeight="1" x14ac:dyDescent="0.2">
      <c r="B58" s="11"/>
      <c r="C58" s="33"/>
      <c r="D58" s="33"/>
      <c r="E58" s="7"/>
      <c r="F58" s="4"/>
      <c r="G58" s="5"/>
      <c r="H58" s="6"/>
    </row>
    <row r="59" spans="2:8" ht="22" customHeight="1" x14ac:dyDescent="0.2">
      <c r="B59" s="11"/>
      <c r="C59" s="33"/>
      <c r="D59" s="33"/>
      <c r="E59" s="7"/>
      <c r="F59" s="4"/>
      <c r="G59" s="5"/>
      <c r="H59" s="6"/>
    </row>
    <row r="60" spans="2:8" ht="22" customHeight="1" x14ac:dyDescent="0.2">
      <c r="B60" s="11"/>
      <c r="C60" s="33"/>
      <c r="D60" s="33"/>
      <c r="E60" s="7"/>
      <c r="F60" s="4"/>
      <c r="G60" s="5"/>
      <c r="H60" s="6"/>
    </row>
    <row r="61" spans="2:8" ht="22" customHeight="1" x14ac:dyDescent="0.2">
      <c r="B61" s="11"/>
      <c r="C61" s="33"/>
      <c r="D61" s="33"/>
      <c r="E61" s="7"/>
      <c r="F61" s="4"/>
      <c r="G61" s="5"/>
      <c r="H61" s="6"/>
    </row>
    <row r="62" spans="2:8" ht="22" customHeight="1" x14ac:dyDescent="0.2">
      <c r="B62" s="11"/>
      <c r="C62" s="33"/>
      <c r="D62" s="33"/>
      <c r="E62" s="7"/>
      <c r="F62" s="4"/>
      <c r="G62" s="5"/>
      <c r="H62" s="6"/>
    </row>
    <row r="63" spans="2:8" ht="22" customHeight="1" x14ac:dyDescent="0.2">
      <c r="B63" s="11"/>
      <c r="C63" s="33"/>
      <c r="D63" s="33"/>
      <c r="E63" s="7"/>
      <c r="F63" s="4"/>
      <c r="G63" s="5"/>
      <c r="H63" s="6"/>
    </row>
    <row r="64" spans="2:8" ht="22" customHeight="1" x14ac:dyDescent="0.2">
      <c r="B64" s="11"/>
      <c r="C64" s="33"/>
      <c r="D64" s="33"/>
      <c r="E64" s="7"/>
      <c r="F64" s="4"/>
      <c r="G64" s="5"/>
      <c r="H64" s="6"/>
    </row>
    <row r="65" spans="2:8" ht="22" customHeight="1" x14ac:dyDescent="0.2">
      <c r="B65" s="11"/>
      <c r="C65" s="33"/>
      <c r="D65" s="33"/>
      <c r="E65" s="7"/>
      <c r="F65" s="4"/>
      <c r="G65" s="5"/>
      <c r="H65" s="6"/>
    </row>
    <row r="66" spans="2:8" ht="22" customHeight="1" x14ac:dyDescent="0.2">
      <c r="B66" s="11"/>
      <c r="C66" s="33"/>
      <c r="D66" s="33"/>
      <c r="E66" s="7"/>
      <c r="F66" s="4"/>
      <c r="G66" s="5"/>
      <c r="H66" s="6"/>
    </row>
    <row r="67" spans="2:8" ht="22" customHeight="1" x14ac:dyDescent="0.2">
      <c r="B67" s="11"/>
      <c r="C67" s="33"/>
      <c r="D67" s="33"/>
      <c r="E67" s="7"/>
      <c r="F67" s="4"/>
      <c r="G67" s="5"/>
      <c r="H67" s="6"/>
    </row>
    <row r="68" spans="2:8" ht="22" customHeight="1" x14ac:dyDescent="0.2">
      <c r="B68" s="11"/>
      <c r="C68" s="33"/>
      <c r="D68" s="33"/>
      <c r="E68" s="7"/>
      <c r="F68" s="4"/>
      <c r="G68" s="5"/>
      <c r="H68" s="6"/>
    </row>
    <row r="69" spans="2:8" ht="22" customHeight="1" x14ac:dyDescent="0.2">
      <c r="B69" s="11"/>
      <c r="C69" s="33"/>
      <c r="D69" s="33"/>
      <c r="E69" s="7"/>
      <c r="F69" s="4"/>
      <c r="G69" s="5"/>
      <c r="H69" s="6"/>
    </row>
    <row r="70" spans="2:8" ht="22" customHeight="1" x14ac:dyDescent="0.2">
      <c r="B70" s="11"/>
      <c r="C70" s="33"/>
      <c r="D70" s="33"/>
      <c r="E70" s="7"/>
      <c r="F70" s="4"/>
      <c r="G70" s="5"/>
      <c r="H70" s="6"/>
    </row>
    <row r="71" spans="2:8" ht="22" customHeight="1" x14ac:dyDescent="0.2">
      <c r="B71" s="11"/>
      <c r="C71" s="33"/>
      <c r="D71" s="33"/>
      <c r="E71" s="7"/>
      <c r="F71" s="4"/>
      <c r="G71" s="5"/>
      <c r="H71" s="6"/>
    </row>
    <row r="72" spans="2:8" ht="22" customHeight="1" x14ac:dyDescent="0.2">
      <c r="B72" s="11"/>
      <c r="C72" s="33"/>
      <c r="D72" s="33"/>
      <c r="E72" s="7"/>
      <c r="F72" s="4"/>
      <c r="G72" s="5"/>
      <c r="H72" s="6"/>
    </row>
    <row r="73" spans="2:8" ht="22" customHeight="1" x14ac:dyDescent="0.2">
      <c r="B73" s="11"/>
      <c r="C73" s="33"/>
      <c r="D73" s="33"/>
      <c r="E73" s="7"/>
      <c r="F73" s="4"/>
      <c r="G73" s="5"/>
      <c r="H73" s="6"/>
    </row>
    <row r="74" spans="2:8" ht="22" customHeight="1" x14ac:dyDescent="0.2">
      <c r="B74" s="11"/>
      <c r="C74" s="33"/>
      <c r="D74" s="33"/>
      <c r="E74" s="7"/>
      <c r="F74" s="4"/>
      <c r="G74" s="5"/>
      <c r="H74" s="6"/>
    </row>
    <row r="75" spans="2:8" ht="22" customHeight="1" x14ac:dyDescent="0.2">
      <c r="B75" s="11"/>
      <c r="C75" s="33"/>
      <c r="D75" s="33"/>
      <c r="E75" s="7"/>
      <c r="F75" s="4"/>
      <c r="G75" s="5"/>
      <c r="H75" s="6"/>
    </row>
    <row r="76" spans="2:8" ht="22" customHeight="1" x14ac:dyDescent="0.2">
      <c r="B76" s="11"/>
      <c r="C76" s="33"/>
      <c r="D76" s="33"/>
      <c r="E76" s="7"/>
      <c r="F76" s="4"/>
      <c r="G76" s="5"/>
      <c r="H76" s="6"/>
    </row>
    <row r="77" spans="2:8" ht="22" customHeight="1" x14ac:dyDescent="0.2">
      <c r="B77" s="11"/>
      <c r="C77" s="33"/>
      <c r="D77" s="33"/>
      <c r="E77" s="7"/>
      <c r="F77" s="4"/>
      <c r="G77" s="5"/>
      <c r="H77" s="6"/>
    </row>
    <row r="78" spans="2:8" ht="22" customHeight="1" x14ac:dyDescent="0.2">
      <c r="B78" s="11"/>
      <c r="C78" s="33"/>
      <c r="D78" s="33"/>
      <c r="E78" s="7"/>
      <c r="F78" s="4"/>
      <c r="G78" s="5"/>
      <c r="H78" s="6"/>
    </row>
    <row r="79" spans="2:8" ht="22" customHeight="1" x14ac:dyDescent="0.2">
      <c r="B79" s="11"/>
      <c r="C79" s="33"/>
      <c r="D79" s="33"/>
      <c r="E79" s="7"/>
      <c r="F79" s="4"/>
      <c r="G79" s="5"/>
      <c r="H79" s="6"/>
    </row>
    <row r="80" spans="2:8" ht="22" customHeight="1" x14ac:dyDescent="0.2">
      <c r="B80" s="11"/>
      <c r="C80" s="33"/>
      <c r="D80" s="33"/>
      <c r="E80" s="7"/>
      <c r="F80" s="4"/>
      <c r="G80" s="5"/>
      <c r="H80" s="6"/>
    </row>
    <row r="81" spans="2:8" ht="22" customHeight="1" x14ac:dyDescent="0.2">
      <c r="B81" s="11"/>
      <c r="C81" s="33"/>
      <c r="D81" s="33"/>
      <c r="E81" s="7"/>
      <c r="F81" s="4"/>
      <c r="G81" s="5"/>
      <c r="H81" s="6"/>
    </row>
    <row r="82" spans="2:8" ht="22" customHeight="1" x14ac:dyDescent="0.2">
      <c r="B82" s="11"/>
      <c r="C82" s="33"/>
      <c r="D82" s="33"/>
      <c r="E82" s="7"/>
      <c r="F82" s="4"/>
      <c r="G82" s="5"/>
      <c r="H82" s="6"/>
    </row>
    <row r="83" spans="2:8" ht="22" customHeight="1" x14ac:dyDescent="0.2">
      <c r="B83" s="11"/>
      <c r="C83" s="33"/>
      <c r="D83" s="33"/>
      <c r="E83" s="7"/>
      <c r="F83" s="4"/>
      <c r="G83" s="5"/>
      <c r="H83" s="6"/>
    </row>
    <row r="84" spans="2:8" ht="22" customHeight="1" x14ac:dyDescent="0.2">
      <c r="B84" s="11"/>
      <c r="C84" s="33"/>
      <c r="D84" s="33"/>
      <c r="E84" s="7"/>
      <c r="F84" s="4"/>
      <c r="G84" s="5"/>
      <c r="H84" s="6"/>
    </row>
    <row r="85" spans="2:8" ht="22" customHeight="1" x14ac:dyDescent="0.2">
      <c r="B85" s="11"/>
      <c r="C85" s="33"/>
      <c r="D85" s="33"/>
      <c r="E85" s="7"/>
      <c r="F85" s="4"/>
      <c r="G85" s="5"/>
      <c r="H85" s="6"/>
    </row>
    <row r="86" spans="2:8" ht="22" customHeight="1" x14ac:dyDescent="0.2">
      <c r="B86" s="11"/>
      <c r="C86" s="33"/>
      <c r="D86" s="33"/>
      <c r="E86" s="7"/>
      <c r="F86" s="4"/>
      <c r="G86" s="5"/>
      <c r="H86" s="6"/>
    </row>
    <row r="87" spans="2:8" ht="22" customHeight="1" x14ac:dyDescent="0.2">
      <c r="B87" s="11"/>
      <c r="C87" s="33"/>
      <c r="D87" s="33"/>
      <c r="E87" s="7"/>
      <c r="F87" s="4"/>
      <c r="G87" s="5"/>
      <c r="H87" s="6"/>
    </row>
    <row r="88" spans="2:8" ht="22" customHeight="1" x14ac:dyDescent="0.2">
      <c r="B88" s="11"/>
      <c r="C88" s="33"/>
      <c r="D88" s="33"/>
      <c r="E88" s="7"/>
      <c r="F88" s="4"/>
      <c r="G88" s="5"/>
      <c r="H88" s="6"/>
    </row>
    <row r="89" spans="2:8" ht="22" customHeight="1" x14ac:dyDescent="0.2">
      <c r="B89" s="11"/>
      <c r="C89" s="33"/>
      <c r="D89" s="33"/>
      <c r="E89" s="7"/>
      <c r="F89" s="4"/>
      <c r="G89" s="5"/>
      <c r="H89" s="6"/>
    </row>
    <row r="90" spans="2:8" ht="22" customHeight="1" x14ac:dyDescent="0.2">
      <c r="B90" s="11"/>
      <c r="C90" s="33"/>
      <c r="D90" s="33"/>
      <c r="E90" s="7"/>
      <c r="F90" s="4"/>
      <c r="G90" s="5"/>
      <c r="H90" s="6"/>
    </row>
    <row r="91" spans="2:8" ht="22" customHeight="1" x14ac:dyDescent="0.2">
      <c r="B91" s="11"/>
      <c r="C91" s="33"/>
      <c r="D91" s="33"/>
      <c r="E91" s="7"/>
      <c r="F91" s="4"/>
      <c r="G91" s="5"/>
      <c r="H91" s="6"/>
    </row>
    <row r="92" spans="2:8" ht="22" customHeight="1" x14ac:dyDescent="0.2">
      <c r="B92" s="11"/>
      <c r="C92" s="33"/>
      <c r="D92" s="33"/>
      <c r="E92" s="7"/>
      <c r="F92" s="4"/>
      <c r="G92" s="5"/>
      <c r="H92" s="6"/>
    </row>
    <row r="93" spans="2:8" ht="22" customHeight="1" x14ac:dyDescent="0.2">
      <c r="B93" s="11"/>
      <c r="C93" s="33"/>
      <c r="D93" s="33"/>
      <c r="E93" s="7"/>
      <c r="F93" s="4"/>
      <c r="G93" s="5"/>
      <c r="H93" s="6"/>
    </row>
    <row r="94" spans="2:8" ht="22" customHeight="1" x14ac:dyDescent="0.2">
      <c r="B94" s="11"/>
      <c r="C94" s="33"/>
      <c r="D94" s="33"/>
      <c r="E94" s="7"/>
      <c r="F94" s="4"/>
      <c r="G94" s="5"/>
      <c r="H94" s="6"/>
    </row>
    <row r="95" spans="2:8" ht="22" customHeight="1" x14ac:dyDescent="0.2">
      <c r="B95" s="11"/>
      <c r="C95" s="33"/>
      <c r="D95" s="33"/>
      <c r="E95" s="7"/>
      <c r="F95" s="4"/>
      <c r="G95" s="5"/>
      <c r="H95" s="6"/>
    </row>
    <row r="96" spans="2:8" ht="22" customHeight="1" x14ac:dyDescent="0.2">
      <c r="B96" s="11"/>
      <c r="C96" s="33"/>
      <c r="D96" s="33"/>
      <c r="E96" s="7"/>
      <c r="F96" s="4"/>
      <c r="G96" s="5"/>
      <c r="H96" s="6"/>
    </row>
    <row r="97" spans="2:8" ht="22" customHeight="1" x14ac:dyDescent="0.2">
      <c r="B97" s="11"/>
      <c r="C97" s="33"/>
      <c r="D97" s="33"/>
      <c r="E97" s="7"/>
      <c r="F97" s="4"/>
      <c r="G97" s="5"/>
      <c r="H97" s="6"/>
    </row>
    <row r="98" spans="2:8" ht="22" customHeight="1" x14ac:dyDescent="0.2">
      <c r="B98" s="11"/>
      <c r="C98" s="33"/>
      <c r="D98" s="33"/>
      <c r="E98" s="7"/>
      <c r="F98" s="4"/>
      <c r="G98" s="5"/>
      <c r="H98" s="6"/>
    </row>
    <row r="99" spans="2:8" ht="22" customHeight="1" x14ac:dyDescent="0.2">
      <c r="B99" s="11"/>
      <c r="C99" s="33"/>
      <c r="D99" s="33"/>
      <c r="E99" s="7"/>
      <c r="F99" s="4"/>
      <c r="G99" s="5"/>
      <c r="H99" s="6"/>
    </row>
    <row r="100" spans="2:8" ht="22" customHeight="1" x14ac:dyDescent="0.2">
      <c r="B100" s="11"/>
      <c r="C100" s="33"/>
      <c r="D100" s="33"/>
      <c r="E100" s="7"/>
      <c r="F100" s="4"/>
      <c r="G100" s="5"/>
      <c r="H100" s="6"/>
    </row>
    <row r="101" spans="2:8" ht="22" customHeight="1" x14ac:dyDescent="0.2">
      <c r="B101" s="11"/>
      <c r="C101" s="33"/>
      <c r="D101" s="33"/>
      <c r="E101" s="7"/>
      <c r="F101" s="4"/>
      <c r="G101" s="5"/>
      <c r="H101" s="6"/>
    </row>
    <row r="102" spans="2:8" ht="22" customHeight="1" x14ac:dyDescent="0.2">
      <c r="B102" s="11"/>
      <c r="C102" s="33"/>
      <c r="D102" s="33"/>
      <c r="E102" s="7"/>
      <c r="F102" s="4"/>
      <c r="G102" s="5"/>
      <c r="H102" s="6"/>
    </row>
    <row r="103" spans="2:8" ht="22" customHeight="1" x14ac:dyDescent="0.2">
      <c r="B103" s="11"/>
      <c r="C103" s="33"/>
      <c r="D103" s="33"/>
      <c r="E103" s="7"/>
      <c r="F103" s="4"/>
      <c r="G103" s="5"/>
      <c r="H103" s="6"/>
    </row>
    <row r="104" spans="2:8" ht="22" customHeight="1" x14ac:dyDescent="0.2">
      <c r="B104" s="11"/>
      <c r="C104" s="33"/>
      <c r="D104" s="33"/>
      <c r="E104" s="7"/>
      <c r="F104" s="4"/>
      <c r="G104" s="5"/>
      <c r="H104" s="6"/>
    </row>
    <row r="105" spans="2:8" ht="22" customHeight="1" x14ac:dyDescent="0.2">
      <c r="B105" s="11"/>
      <c r="C105" s="33"/>
      <c r="D105" s="33"/>
      <c r="E105" s="7"/>
      <c r="F105" s="4"/>
      <c r="G105" s="5"/>
      <c r="H105" s="6"/>
    </row>
    <row r="106" spans="2:8" ht="22" customHeight="1" x14ac:dyDescent="0.2">
      <c r="B106" s="11"/>
      <c r="C106" s="33"/>
      <c r="D106" s="33"/>
      <c r="E106" s="7"/>
      <c r="F106" s="4"/>
      <c r="G106" s="5"/>
      <c r="H106" s="6"/>
    </row>
    <row r="107" spans="2:8" ht="22" customHeight="1" x14ac:dyDescent="0.2">
      <c r="B107" s="11"/>
      <c r="C107" s="33"/>
      <c r="D107" s="33"/>
      <c r="E107" s="7"/>
      <c r="F107" s="4"/>
      <c r="G107" s="5"/>
      <c r="H107" s="6"/>
    </row>
    <row r="108" spans="2:8" ht="22" customHeight="1" x14ac:dyDescent="0.2">
      <c r="B108" s="11"/>
      <c r="C108" s="33"/>
      <c r="D108" s="33"/>
      <c r="E108" s="7"/>
      <c r="F108" s="4"/>
      <c r="G108" s="5"/>
      <c r="H108" s="6"/>
    </row>
    <row r="109" spans="2:8" ht="22" customHeight="1" x14ac:dyDescent="0.2">
      <c r="B109" s="11"/>
      <c r="C109" s="33"/>
      <c r="D109" s="33"/>
      <c r="E109" s="7"/>
      <c r="F109" s="4"/>
      <c r="G109" s="5"/>
      <c r="H109" s="6"/>
    </row>
    <row r="110" spans="2:8" ht="22" customHeight="1" x14ac:dyDescent="0.2">
      <c r="B110" s="11"/>
      <c r="C110" s="33"/>
      <c r="D110" s="33"/>
      <c r="E110" s="7"/>
      <c r="F110" s="4"/>
      <c r="G110" s="5"/>
      <c r="H110" s="6"/>
    </row>
    <row r="111" spans="2:8" ht="22" customHeight="1" x14ac:dyDescent="0.2">
      <c r="B111" s="11"/>
      <c r="C111" s="33"/>
      <c r="D111" s="33"/>
      <c r="E111" s="7"/>
      <c r="F111" s="4"/>
      <c r="G111" s="5"/>
      <c r="H111" s="6"/>
    </row>
    <row r="112" spans="2:8" ht="22" customHeight="1" x14ac:dyDescent="0.2">
      <c r="B112" s="11"/>
      <c r="C112" s="33"/>
      <c r="D112" s="33"/>
      <c r="E112" s="7"/>
      <c r="F112" s="4"/>
      <c r="G112" s="5"/>
      <c r="H112" s="6"/>
    </row>
    <row r="113" spans="2:8" ht="22" customHeight="1" x14ac:dyDescent="0.2">
      <c r="B113" s="11"/>
      <c r="C113" s="33"/>
      <c r="D113" s="33"/>
      <c r="E113" s="7"/>
      <c r="F113" s="4"/>
      <c r="G113" s="5"/>
      <c r="H113" s="6"/>
    </row>
    <row r="114" spans="2:8" ht="22" customHeight="1" x14ac:dyDescent="0.2">
      <c r="B114" s="11"/>
      <c r="C114" s="33"/>
      <c r="D114" s="33"/>
      <c r="E114" s="7"/>
      <c r="F114" s="4"/>
      <c r="G114" s="5"/>
      <c r="H114" s="6"/>
    </row>
    <row r="115" spans="2:8" ht="22" customHeight="1" x14ac:dyDescent="0.2">
      <c r="B115" s="11"/>
      <c r="C115" s="33"/>
      <c r="D115" s="33"/>
      <c r="E115" s="7"/>
      <c r="F115" s="4"/>
      <c r="G115" s="5"/>
      <c r="H115" s="6"/>
    </row>
    <row r="116" spans="2:8" ht="22" customHeight="1" x14ac:dyDescent="0.2">
      <c r="B116" s="11"/>
      <c r="C116" s="33"/>
      <c r="D116" s="33"/>
      <c r="E116" s="7"/>
      <c r="F116" s="4"/>
      <c r="G116" s="5"/>
      <c r="H116" s="6"/>
    </row>
    <row r="117" spans="2:8" ht="22" customHeight="1" x14ac:dyDescent="0.2">
      <c r="B117" s="11"/>
      <c r="C117" s="33"/>
      <c r="D117" s="33"/>
      <c r="E117" s="7"/>
      <c r="F117" s="4"/>
      <c r="G117" s="5"/>
      <c r="H117" s="6"/>
    </row>
    <row r="118" spans="2:8" ht="22" customHeight="1" x14ac:dyDescent="0.2">
      <c r="B118" s="11"/>
      <c r="C118" s="33"/>
      <c r="D118" s="33"/>
      <c r="E118" s="7"/>
      <c r="F118" s="4"/>
      <c r="G118" s="5"/>
      <c r="H118" s="6"/>
    </row>
    <row r="119" spans="2:8" ht="22" customHeight="1" x14ac:dyDescent="0.2">
      <c r="B119" s="11"/>
      <c r="C119" s="33"/>
      <c r="D119" s="33"/>
      <c r="E119" s="7"/>
      <c r="F119" s="4"/>
      <c r="G119" s="5"/>
      <c r="H119" s="6"/>
    </row>
    <row r="120" spans="2:8" ht="22" customHeight="1" x14ac:dyDescent="0.2">
      <c r="B120" s="11"/>
      <c r="C120" s="33"/>
      <c r="D120" s="33"/>
      <c r="E120" s="7"/>
      <c r="F120" s="4"/>
      <c r="G120" s="5"/>
      <c r="H120" s="6"/>
    </row>
    <row r="121" spans="2:8" ht="22" customHeight="1" x14ac:dyDescent="0.2">
      <c r="B121" s="11"/>
      <c r="C121" s="33"/>
      <c r="D121" s="33"/>
      <c r="E121" s="7"/>
      <c r="F121" s="4"/>
      <c r="G121" s="5"/>
      <c r="H121" s="6"/>
    </row>
    <row r="122" spans="2:8" ht="22" customHeight="1" x14ac:dyDescent="0.2">
      <c r="B122" s="11"/>
      <c r="C122" s="33"/>
      <c r="D122" s="33"/>
      <c r="E122" s="7"/>
      <c r="F122" s="4"/>
      <c r="G122" s="5"/>
      <c r="H122" s="6"/>
    </row>
    <row r="123" spans="2:8" ht="22" customHeight="1" x14ac:dyDescent="0.2">
      <c r="B123" s="11"/>
      <c r="C123" s="33"/>
      <c r="D123" s="33"/>
      <c r="E123" s="7"/>
      <c r="F123" s="4"/>
      <c r="G123" s="5"/>
      <c r="H123" s="6"/>
    </row>
    <row r="124" spans="2:8" ht="22" customHeight="1" x14ac:dyDescent="0.2">
      <c r="B124" s="11"/>
      <c r="C124" s="33"/>
      <c r="D124" s="33"/>
      <c r="E124" s="7"/>
      <c r="F124" s="4"/>
      <c r="G124" s="5"/>
      <c r="H124" s="6"/>
    </row>
    <row r="126" spans="2:8" x14ac:dyDescent="0.2">
      <c r="B126" s="65" t="s">
        <v>31</v>
      </c>
      <c r="C126" s="41"/>
      <c r="D126" s="41"/>
      <c r="E126" s="41"/>
      <c r="F126" s="9">
        <f>SUM(F6:F125)</f>
        <v>1910</v>
      </c>
      <c r="G126" s="9">
        <f>SUM(G6:G125)</f>
        <v>971.8</v>
      </c>
      <c r="H126" s="9">
        <f>SUM(H6:H125)</f>
        <v>2881.8</v>
      </c>
    </row>
  </sheetData>
  <mergeCells count="2">
    <mergeCell ref="B126:E126"/>
    <mergeCell ref="B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16"/>
  <sheetViews>
    <sheetView showGridLines="0" workbookViewId="0"/>
  </sheetViews>
  <sheetFormatPr baseColWidth="10" defaultColWidth="8.83203125" defaultRowHeight="15" x14ac:dyDescent="0.2"/>
  <cols>
    <col min="1" max="1" width="3" customWidth="1"/>
    <col min="2" max="2" width="18" customWidth="1"/>
    <col min="3" max="3" width="12" customWidth="1"/>
    <col min="4" max="6" width="16" customWidth="1"/>
    <col min="7" max="7" width="3" customWidth="1"/>
  </cols>
  <sheetData>
    <row r="2" spans="1:7" ht="35" customHeight="1" x14ac:dyDescent="0.2">
      <c r="B2" s="66" t="s">
        <v>32</v>
      </c>
      <c r="C2" s="41"/>
      <c r="D2" s="41"/>
      <c r="E2" s="41"/>
      <c r="F2" s="41"/>
    </row>
    <row r="4" spans="1:7" ht="28" customHeight="1" x14ac:dyDescent="0.2">
      <c r="A4" s="10"/>
      <c r="B4" s="10" t="s">
        <v>7</v>
      </c>
      <c r="C4" s="10" t="s">
        <v>33</v>
      </c>
      <c r="D4" s="10" t="s">
        <v>10</v>
      </c>
      <c r="E4" s="10" t="s">
        <v>11</v>
      </c>
      <c r="F4" s="10" t="s">
        <v>5</v>
      </c>
      <c r="G4" s="10"/>
    </row>
    <row r="6" spans="1:7" ht="22" customHeight="1" x14ac:dyDescent="0.2">
      <c r="B6" s="12" t="s">
        <v>34</v>
      </c>
      <c r="C6" s="13">
        <v>0</v>
      </c>
      <c r="D6" s="4">
        <v>0</v>
      </c>
      <c r="E6" s="5">
        <v>0</v>
      </c>
      <c r="F6" s="6">
        <f t="shared" ref="F6:F14" si="0">D6+E6</f>
        <v>0</v>
      </c>
    </row>
    <row r="7" spans="1:7" ht="22" customHeight="1" x14ac:dyDescent="0.2">
      <c r="B7" s="14" t="s">
        <v>35</v>
      </c>
      <c r="C7" s="13">
        <v>0</v>
      </c>
      <c r="D7" s="4">
        <v>0</v>
      </c>
      <c r="E7" s="5">
        <v>0</v>
      </c>
      <c r="F7" s="6">
        <f t="shared" si="0"/>
        <v>0</v>
      </c>
    </row>
    <row r="8" spans="1:7" ht="22" customHeight="1" x14ac:dyDescent="0.2">
      <c r="B8" s="15" t="s">
        <v>36</v>
      </c>
      <c r="C8" s="13">
        <v>0</v>
      </c>
      <c r="D8" s="4">
        <v>0</v>
      </c>
      <c r="E8" s="5">
        <v>0</v>
      </c>
      <c r="F8" s="6">
        <f t="shared" si="0"/>
        <v>0</v>
      </c>
    </row>
    <row r="9" spans="1:7" ht="22" customHeight="1" x14ac:dyDescent="0.2">
      <c r="B9" s="16" t="s">
        <v>37</v>
      </c>
      <c r="C9" s="13">
        <v>0</v>
      </c>
      <c r="D9" s="4">
        <v>0</v>
      </c>
      <c r="E9" s="5">
        <v>0</v>
      </c>
      <c r="F9" s="6">
        <f t="shared" si="0"/>
        <v>0</v>
      </c>
    </row>
    <row r="10" spans="1:7" ht="22" customHeight="1" x14ac:dyDescent="0.2">
      <c r="B10" s="17" t="s">
        <v>38</v>
      </c>
      <c r="C10" s="13">
        <v>0</v>
      </c>
      <c r="D10" s="4">
        <v>0</v>
      </c>
      <c r="E10" s="5">
        <v>0</v>
      </c>
      <c r="F10" s="6">
        <f t="shared" si="0"/>
        <v>0</v>
      </c>
    </row>
    <row r="11" spans="1:7" ht="22" customHeight="1" x14ac:dyDescent="0.2">
      <c r="B11" s="18" t="s">
        <v>24</v>
      </c>
      <c r="C11" s="13">
        <v>1</v>
      </c>
      <c r="D11" s="4">
        <v>350</v>
      </c>
      <c r="E11" s="5">
        <v>59.5</v>
      </c>
      <c r="F11" s="6">
        <f t="shared" si="0"/>
        <v>409.5</v>
      </c>
    </row>
    <row r="12" spans="1:7" ht="22" customHeight="1" x14ac:dyDescent="0.2">
      <c r="B12" s="19" t="s">
        <v>21</v>
      </c>
      <c r="C12" s="13">
        <v>1</v>
      </c>
      <c r="D12" s="4">
        <v>1200</v>
      </c>
      <c r="E12" s="5">
        <v>678.6</v>
      </c>
      <c r="F12" s="6">
        <f t="shared" si="0"/>
        <v>1878.6</v>
      </c>
    </row>
    <row r="13" spans="1:7" ht="22" customHeight="1" x14ac:dyDescent="0.2">
      <c r="B13" s="20" t="s">
        <v>18</v>
      </c>
      <c r="C13" s="13">
        <v>1</v>
      </c>
      <c r="D13" s="4">
        <v>500</v>
      </c>
      <c r="E13" s="5">
        <v>220</v>
      </c>
      <c r="F13" s="6">
        <f t="shared" si="0"/>
        <v>720</v>
      </c>
    </row>
    <row r="14" spans="1:7" ht="22" customHeight="1" x14ac:dyDescent="0.2">
      <c r="B14" s="21" t="s">
        <v>13</v>
      </c>
      <c r="C14" s="13">
        <v>3</v>
      </c>
      <c r="D14" s="4">
        <v>210</v>
      </c>
      <c r="E14" s="5">
        <v>73.2</v>
      </c>
      <c r="F14" s="6">
        <f t="shared" si="0"/>
        <v>283.2</v>
      </c>
    </row>
    <row r="16" spans="1:7" x14ac:dyDescent="0.2">
      <c r="B16" s="65" t="s">
        <v>39</v>
      </c>
      <c r="C16" s="41"/>
      <c r="D16" s="9">
        <f>SUM(D6:D15)</f>
        <v>2260</v>
      </c>
      <c r="E16" s="9">
        <f>SUM(E6:E15)</f>
        <v>1031.3</v>
      </c>
      <c r="F16" s="9">
        <f>SUM(F6:F15)</f>
        <v>3291.2999999999997</v>
      </c>
    </row>
  </sheetData>
  <mergeCells count="2">
    <mergeCell ref="B2:F2"/>
    <mergeCell ref="B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 Executivo</vt:lpstr>
      <vt:lpstr>Detalhamento por Cliente</vt:lpstr>
      <vt:lpstr>Análise por Etapa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a12977</cp:lastModifiedBy>
  <dcterms:created xsi:type="dcterms:W3CDTF">2026-05-14T14:56:51Z</dcterms:created>
  <dcterms:modified xsi:type="dcterms:W3CDTF">2026-05-25T16:52:47Z</dcterms:modified>
</cp:coreProperties>
</file>